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icionario_Fontes" sheetId="2" state="visible" r:id="rId4"/>
    <sheet name="Dataset_Final" sheetId="3" state="visible" r:id="rId5"/>
    <sheet name="Colunas_Excluidas" sheetId="4" state="visible" r:id="rId6"/>
    <sheet name="Legend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<sst xmlns="http://schemas.openxmlformats.org/spreadsheetml/2006/main" count="1102" uniqueCount="490">
  <si>
    <t xml:space="preserve">Telco Customer Churn — Resumo das fontes de dados</t>
  </si>
  <si>
    <t xml:space="preserve">EDSB 2026 · NOVA IMS · Projeto D — Retention Management</t>
  </si>
  <si>
    <t xml:space="preserve">Fonte</t>
  </si>
  <si>
    <t xml:space="preserve">Ficheiro</t>
  </si>
  <si>
    <t xml:space="preserve">Grão</t>
  </si>
  <si>
    <t xml:space="preserve">Chave de ligação</t>
  </si>
  <si>
    <t xml:space="preserve">Nº linhas</t>
  </si>
  <si>
    <t xml:space="preserve">Nº colunas</t>
  </si>
  <si>
    <t xml:space="preserve">Features</t>
  </si>
  <si>
    <t xml:space="preserve">Chaves</t>
  </si>
  <si>
    <t xml:space="preserve">Benchmark / priorização</t>
  </si>
  <si>
    <t xml:space="preserve">Excluídas (redundante, leakage, reporting)</t>
  </si>
  <si>
    <t xml:space="preserve">Demographics</t>
  </si>
  <si>
    <t xml:space="preserve">Telco_customer_churn_demographics.xlsx</t>
  </si>
  <si>
    <t xml:space="preserve">1 linha por cliente</t>
  </si>
  <si>
    <t xml:space="preserve">Customer ID</t>
  </si>
  <si>
    <t xml:space="preserve">Location</t>
  </si>
  <si>
    <t xml:space="preserve">Telco_customer_churn_location.xlsx</t>
  </si>
  <si>
    <t xml:space="preserve">Population</t>
  </si>
  <si>
    <t xml:space="preserve">Telco_customer_churn_population.xlsx</t>
  </si>
  <si>
    <t xml:space="preserve">1 linha por ZIP code</t>
  </si>
  <si>
    <t xml:space="preserve">Zip Code</t>
  </si>
  <si>
    <t xml:space="preserve">Services</t>
  </si>
  <si>
    <t xml:space="preserve">Telco_customer_churn_services.xlsx</t>
  </si>
  <si>
    <t xml:space="preserve">Status</t>
  </si>
  <si>
    <t xml:space="preserve">Telco_customer_churn_status.xlsx</t>
  </si>
  <si>
    <t xml:space="preserve">Total</t>
  </si>
  <si>
    <t xml:space="preserve">Nota: 'Excluídas' inclui Customer Status (origem do target) e campos removidos antes da união (Count, Quarter, ID). Customer ID e Zip Code contam como chaves em cada ficheiro.</t>
  </si>
  <si>
    <t xml:space="preserve">Volumes de clientes</t>
  </si>
  <si>
    <t xml:space="preserve">Segmento</t>
  </si>
  <si>
    <t xml:space="preserve">Nº clientes</t>
  </si>
  <si>
    <t xml:space="preserve">% do total</t>
  </si>
  <si>
    <t xml:space="preserve">Utilização</t>
  </si>
  <si>
    <t xml:space="preserve">Stayed</t>
  </si>
  <si>
    <t xml:space="preserve">População de modelação (churn = 0)</t>
  </si>
  <si>
    <t xml:space="preserve">Churned</t>
  </si>
  <si>
    <t xml:space="preserve">População de modelação (churn = 1)</t>
  </si>
  <si>
    <t xml:space="preserve">Joined</t>
  </si>
  <si>
    <t xml:space="preserve">Fora do modelo; scoring posterior</t>
  </si>
  <si>
    <t xml:space="preserve">Total clientes</t>
  </si>
  <si>
    <t xml:space="preserve">Modelação (Churned + Stayed)</t>
  </si>
  <si>
    <t xml:space="preserve">Base do treino/teste</t>
  </si>
  <si>
    <t xml:space="preserve">Taxa de churn (modelação)</t>
  </si>
  <si>
    <t xml:space="preserve">Treino (80%, estratificado)</t>
  </si>
  <si>
    <t xml:space="preserve">% sobre a modelação</t>
  </si>
  <si>
    <t xml:space="preserve">Teste (20%, estratificado)</t>
  </si>
  <si>
    <t xml:space="preserve">Fonte: contagens de Customer Status no ficheiro Status; treino calculado no pipeline (train_test_split, test_size=0,20, random_state=42).</t>
  </si>
  <si>
    <t xml:space="preserve">Fluxo de colunas até ao dataset final</t>
  </si>
  <si>
    <t xml:space="preserve">Etapa</t>
  </si>
  <si>
    <t xml:space="preserve">Detalhe</t>
  </si>
  <si>
    <t xml:space="preserve">Colunas nos 5 ficheiros</t>
  </si>
  <si>
    <t xml:space="preserve">Soma das colunas de todos os ficheiros</t>
  </si>
  <si>
    <t xml:space="preserve">Após união</t>
  </si>
  <si>
    <t xml:space="preserve">Remove Count/Quarter repetidos, ID e chaves duplicadas</t>
  </si>
  <si>
    <t xml:space="preserve">Excluídas da modelação</t>
  </si>
  <si>
    <t xml:space="preserve">10 redundantes + 5 leakage</t>
  </si>
  <si>
    <t xml:space="preserve">Features criadas</t>
  </si>
  <si>
    <t xml:space="preserve">n_add_on_services, has_refund, avg_hist_charge, charge_delta</t>
  </si>
  <si>
    <t xml:space="preserve">Target</t>
  </si>
  <si>
    <t xml:space="preserve">churn</t>
  </si>
  <si>
    <t xml:space="preserve">Dataset final (train/test.csv)</t>
  </si>
  <si>
    <t xml:space="preserve">1 ID + 3 negócio + 17 numéricas + 19 categóricas + target</t>
  </si>
  <si>
    <t xml:space="preserve">Features após one-hot</t>
  </si>
  <si>
    <t xml:space="preserve">17 numéricas + 15 binárias + 16 multiclasse</t>
  </si>
  <si>
    <t xml:space="preserve">Dicionário de dados por fonte</t>
  </si>
  <si>
    <t xml:space="preserve">62 colunas dos 5 ficheiros originais · estatísticas calculadas sobre todas as linhas de cada ficheiro (Python/pandas, keep_default_na=False)</t>
  </si>
  <si>
    <t xml:space="preserve">Coluna</t>
  </si>
  <si>
    <t xml:space="preserve">Descrição / o que contém</t>
  </si>
  <si>
    <t xml:space="preserve">Tipo de dados</t>
  </si>
  <si>
    <t xml:space="preserve">Tipo de variável</t>
  </si>
  <si>
    <t xml:space="preserve">Valores distintos</t>
  </si>
  <si>
    <t xml:space="preserve">Missing / vazios</t>
  </si>
  <si>
    <t xml:space="preserve">% missing</t>
  </si>
  <si>
    <t xml:space="preserve">Mínimo</t>
  </si>
  <si>
    <t xml:space="preserve">Mediana</t>
  </si>
  <si>
    <t xml:space="preserve">Média</t>
  </si>
  <si>
    <t xml:space="preserve">Máximo</t>
  </si>
  <si>
    <t xml:space="preserve">Categorias e frequências</t>
  </si>
  <si>
    <t xml:space="preserve">Exemplo</t>
  </si>
  <si>
    <t xml:space="preserve">Papel no projeto</t>
  </si>
  <si>
    <t xml:space="preserve">Decisão no dataset final</t>
  </si>
  <si>
    <t xml:space="preserve">Identificador único do cliente; chave de união entre ficheiros.</t>
  </si>
  <si>
    <t xml:space="preserve">Texto</t>
  </si>
  <si>
    <t xml:space="preserve">Identificador</t>
  </si>
  <si>
    <t xml:space="preserve">7.043 valores únicos (1 por linha)</t>
  </si>
  <si>
    <t xml:space="preserve">8779-QRDMV</t>
  </si>
  <si>
    <t xml:space="preserve">Chave</t>
  </si>
  <si>
    <t xml:space="preserve">Mantida apenas como chave (Customer ID)</t>
  </si>
  <si>
    <t xml:space="preserve">Count</t>
  </si>
  <si>
    <t xml:space="preserve">Campo de reporting (valor 1) para contar clientes em dashboards.</t>
  </si>
  <si>
    <t xml:space="preserve">Inteiro</t>
  </si>
  <si>
    <t xml:space="preserve">Constante</t>
  </si>
  <si>
    <t xml:space="preserve">Valor único: 1</t>
  </si>
  <si>
    <t xml:space="preserve">1</t>
  </si>
  <si>
    <t xml:space="preserve">Reporting</t>
  </si>
  <si>
    <t xml:space="preserve">Removida antes da união</t>
  </si>
  <si>
    <t xml:space="preserve">Gender</t>
  </si>
  <si>
    <t xml:space="preserve">Género do cliente.</t>
  </si>
  <si>
    <t xml:space="preserve">Binária</t>
  </si>
  <si>
    <t xml:space="preserve">Male (3.555) · Female (3.488)</t>
  </si>
  <si>
    <t xml:space="preserve">Male</t>
  </si>
  <si>
    <t xml:space="preserve">Feature</t>
  </si>
  <si>
    <t xml:space="preserve">Mantida → Gender_Male</t>
  </si>
  <si>
    <t xml:space="preserve">Age</t>
  </si>
  <si>
    <t xml:space="preserve">Idade em anos no fim do trimestre.</t>
  </si>
  <si>
    <t xml:space="preserve">Numérica discreta</t>
  </si>
  <si>
    <t xml:space="preserve">78</t>
  </si>
  <si>
    <t xml:space="preserve">Mantida</t>
  </si>
  <si>
    <t xml:space="preserve">Under 30</t>
  </si>
  <si>
    <t xml:space="preserve">Yes se Age &lt; 30 (derivação exata de Age).</t>
  </si>
  <si>
    <t xml:space="preserve">No (5.642) · Yes (1.401)</t>
  </si>
  <si>
    <t xml:space="preserve">No</t>
  </si>
  <si>
    <t xml:space="preserve">Redundante</t>
  </si>
  <si>
    <t xml:space="preserve">Excluída (derivada de Age)</t>
  </si>
  <si>
    <t xml:space="preserve">Senior Citizen</t>
  </si>
  <si>
    <t xml:space="preserve">Yes se Age ≥ 65 (derivação exata de Age).</t>
  </si>
  <si>
    <t xml:space="preserve">No (5.901) · Yes (1.142)</t>
  </si>
  <si>
    <t xml:space="preserve">Yes</t>
  </si>
  <si>
    <t xml:space="preserve">Married</t>
  </si>
  <si>
    <t xml:space="preserve">Se o cliente é casado.</t>
  </si>
  <si>
    <t xml:space="preserve">No (3.641) · Yes (3.402)</t>
  </si>
  <si>
    <t xml:space="preserve">Mantida → Married_Yes</t>
  </si>
  <si>
    <t xml:space="preserve">Dependents</t>
  </si>
  <si>
    <t xml:space="preserve">Yes se Number of Dependents &gt; 0 (derivação exata).</t>
  </si>
  <si>
    <t xml:space="preserve">No (5.416) · Yes (1.627)</t>
  </si>
  <si>
    <t xml:space="preserve">Excluída (derivada)</t>
  </si>
  <si>
    <t xml:space="preserve">Number of Dependents</t>
  </si>
  <si>
    <t xml:space="preserve">Nº de dependentes que vivem com o cliente.</t>
  </si>
  <si>
    <t xml:space="preserve">0</t>
  </si>
  <si>
    <t xml:space="preserve">Country</t>
  </si>
  <si>
    <t xml:space="preserve">País; constante United States.</t>
  </si>
  <si>
    <t xml:space="preserve">United States (7.043)</t>
  </si>
  <si>
    <t xml:space="preserve">United States</t>
  </si>
  <si>
    <t xml:space="preserve">Excluída (constante)</t>
  </si>
  <si>
    <t xml:space="preserve">State</t>
  </si>
  <si>
    <t xml:space="preserve">Estado; constante California.</t>
  </si>
  <si>
    <t xml:space="preserve">California (7.043)</t>
  </si>
  <si>
    <t xml:space="preserve">California</t>
  </si>
  <si>
    <t xml:space="preserve">City</t>
  </si>
  <si>
    <t xml:space="preserve">Cidade da residência principal.</t>
  </si>
  <si>
    <t xml:space="preserve">Nominal (alta cardinalidade)</t>
  </si>
  <si>
    <t xml:space="preserve">1.106 valores distintos. Mais frequentes: Los Angeles (293) · San Diego (285) · San Jose (112) · Sacramento (108)</t>
  </si>
  <si>
    <t xml:space="preserve">Los Angeles</t>
  </si>
  <si>
    <t xml:space="preserve">Excluída (~1.100 categorias)</t>
  </si>
  <si>
    <t xml:space="preserve">ZIP code da residência; chave para Population.</t>
  </si>
  <si>
    <t xml:space="preserve">Identificador geográfico</t>
  </si>
  <si>
    <t xml:space="preserve">90022</t>
  </si>
  <si>
    <t xml:space="preserve">Usada para unir Population; excluída das features</t>
  </si>
  <si>
    <t xml:space="preserve">Lat Long</t>
  </si>
  <si>
    <t xml:space="preserve">Texto 'latitude, longitude'; duplica as colunas numéricas.</t>
  </si>
  <si>
    <t xml:space="preserve">1.679 valores distintos. Mais frequentes: 33.362575, -117.299644 (43) · 33.141265, -116.967221 (38) · 32.825086, -117.199424 (34) · 32.886925, -117.152162 (32)</t>
  </si>
  <si>
    <t xml:space="preserve">34.02381, -118.156582</t>
  </si>
  <si>
    <t xml:space="preserve">Excluída (duplicada)</t>
  </si>
  <si>
    <t xml:space="preserve">Latitude</t>
  </si>
  <si>
    <t xml:space="preserve">Latitude da residência principal.</t>
  </si>
  <si>
    <t xml:space="preserve">Decimal</t>
  </si>
  <si>
    <t xml:space="preserve">Numérica contínua</t>
  </si>
  <si>
    <t xml:space="preserve">34.02381</t>
  </si>
  <si>
    <t xml:space="preserve">Longitude</t>
  </si>
  <si>
    <t xml:space="preserve">Longitude da residência principal.</t>
  </si>
  <si>
    <t xml:space="preserve">-118.156582</t>
  </si>
  <si>
    <t xml:space="preserve">ID</t>
  </si>
  <si>
    <t xml:space="preserve">Identificador da linha da tabela Population.</t>
  </si>
  <si>
    <t xml:space="preserve">90001</t>
  </si>
  <si>
    <t xml:space="preserve">População estimada da área do ZIP code.</t>
  </si>
  <si>
    <t xml:space="preserve">54492</t>
  </si>
  <si>
    <t xml:space="preserve">Mantida (unida por Zip Code)</t>
  </si>
  <si>
    <t xml:space="preserve">Quarter</t>
  </si>
  <si>
    <t xml:space="preserve">Trimestre do snapshot; constante Q3, sem ano.</t>
  </si>
  <si>
    <t xml:space="preserve">Q3 (7.043)</t>
  </si>
  <si>
    <t xml:space="preserve">Q3</t>
  </si>
  <si>
    <t xml:space="preserve">Referred a Friend</t>
  </si>
  <si>
    <t xml:space="preserve">Yes se Number of Referrals &gt; 0 (derivação exata).</t>
  </si>
  <si>
    <t xml:space="preserve">No (3.821) · Yes (3.222)</t>
  </si>
  <si>
    <t xml:space="preserve">Number of Referrals</t>
  </si>
  <si>
    <t xml:space="preserve">Nº de referências feitas pelo cliente até à data.</t>
  </si>
  <si>
    <t xml:space="preserve">Tenure in Months</t>
  </si>
  <si>
    <t xml:space="preserve">Meses de relação com a empresa no fim do trimestre.</t>
  </si>
  <si>
    <t xml:space="preserve">Offer</t>
  </si>
  <si>
    <t xml:space="preserve">Última oferta aceite; 'None' = sem oferta (valor real).</t>
  </si>
  <si>
    <t xml:space="preserve">Nominal</t>
  </si>
  <si>
    <t xml:space="preserve">None (3.877) · Offer B (824) · Offer E (805) · Offer D (602) · Offer A (520) · Offer C (415)</t>
  </si>
  <si>
    <t xml:space="preserve">None</t>
  </si>
  <si>
    <t xml:space="preserve">Mantida → 6 colunas one-hot</t>
  </si>
  <si>
    <t xml:space="preserve">Phone Service</t>
  </si>
  <si>
    <t xml:space="preserve">Subscreve telefone fixo.</t>
  </si>
  <si>
    <t xml:space="preserve">Yes (6.361) · No (682)</t>
  </si>
  <si>
    <t xml:space="preserve">Mantida → Phone Service_Yes</t>
  </si>
  <si>
    <t xml:space="preserve">Avg Monthly Long Distance Charges</t>
  </si>
  <si>
    <t xml:space="preserve">Média mensal de encargos de longa distância.</t>
  </si>
  <si>
    <t xml:space="preserve">0.0</t>
  </si>
  <si>
    <t xml:space="preserve">Multiple Lines</t>
  </si>
  <si>
    <t xml:space="preserve">Subscreve várias linhas telefónicas.</t>
  </si>
  <si>
    <t xml:space="preserve">No (4.072) · Yes (2.971)</t>
  </si>
  <si>
    <t xml:space="preserve">Mantida → Multiple Lines_Yes</t>
  </si>
  <si>
    <t xml:space="preserve">Internet Service</t>
  </si>
  <si>
    <t xml:space="preserve">Subscreve internet (flag, não a tecnologia).</t>
  </si>
  <si>
    <t xml:space="preserve">Yes (5.517) · No (1.526)</t>
  </si>
  <si>
    <t xml:space="preserve">Mantida → Internet Service_Yes</t>
  </si>
  <si>
    <t xml:space="preserve">Internet Type</t>
  </si>
  <si>
    <t xml:space="preserve">Tecnologia: Fiber Optic, DSL, Cable ou 'None' (sem internet).</t>
  </si>
  <si>
    <t xml:space="preserve">Fiber Optic (3.035) · DSL (1.652) · None (1.526) · Cable (830)</t>
  </si>
  <si>
    <t xml:space="preserve">DSL</t>
  </si>
  <si>
    <t xml:space="preserve">Mantida → 4 colunas one-hot</t>
  </si>
  <si>
    <t xml:space="preserve">Avg Monthly GB Download</t>
  </si>
  <si>
    <t xml:space="preserve">Média mensal de GB descarregados.</t>
  </si>
  <si>
    <t xml:space="preserve">8</t>
  </si>
  <si>
    <t xml:space="preserve">Online Security</t>
  </si>
  <si>
    <t xml:space="preserve">Subscreve segurança online adicional.</t>
  </si>
  <si>
    <t xml:space="preserve">No (5.024) · Yes (2.019)</t>
  </si>
  <si>
    <t xml:space="preserve">Mantida → _Yes</t>
  </si>
  <si>
    <t xml:space="preserve">Online Backup</t>
  </si>
  <si>
    <t xml:space="preserve">Subscreve backup online adicional.</t>
  </si>
  <si>
    <t xml:space="preserve">No (4.614) · Yes (2.429)</t>
  </si>
  <si>
    <t xml:space="preserve">Device Protection Plan</t>
  </si>
  <si>
    <t xml:space="preserve">Subscreve plano de proteção de equipamento.</t>
  </si>
  <si>
    <t xml:space="preserve">No (4.621) · Yes (2.422)</t>
  </si>
  <si>
    <t xml:space="preserve">Premium Tech Support</t>
  </si>
  <si>
    <t xml:space="preserve">Subscreve suporte técnico premium.</t>
  </si>
  <si>
    <t xml:space="preserve">No (4.999) · Yes (2.044)</t>
  </si>
  <si>
    <t xml:space="preserve">Streaming TV</t>
  </si>
  <si>
    <t xml:space="preserve">Usa a internet para streaming de TV.</t>
  </si>
  <si>
    <t xml:space="preserve">No (4.336) · Yes (2.707)</t>
  </si>
  <si>
    <t xml:space="preserve">Streaming Movies</t>
  </si>
  <si>
    <t xml:space="preserve">Usa a internet para streaming de filmes.</t>
  </si>
  <si>
    <t xml:space="preserve">No (4.311) · Yes (2.732)</t>
  </si>
  <si>
    <t xml:space="preserve">Streaming Music</t>
  </si>
  <si>
    <t xml:space="preserve">Usa a internet para streaming de música.</t>
  </si>
  <si>
    <t xml:space="preserve">No (4.555) · Yes (2.488)</t>
  </si>
  <si>
    <t xml:space="preserve">Unlimited Data</t>
  </si>
  <si>
    <t xml:space="preserve">Paga dados ilimitados.</t>
  </si>
  <si>
    <t xml:space="preserve">Yes (4.745) · No (2.298)</t>
  </si>
  <si>
    <t xml:space="preserve">Contract</t>
  </si>
  <si>
    <t xml:space="preserve">Tipo de contrato: Month-to-Month, One Year, Two Year.</t>
  </si>
  <si>
    <t xml:space="preserve">Ordinal</t>
  </si>
  <si>
    <t xml:space="preserve">Month-to-Month (3.610) · Two Year (1.883) · One Year (1.550)</t>
  </si>
  <si>
    <t xml:space="preserve">Month-to-Month</t>
  </si>
  <si>
    <t xml:space="preserve">Mantida → 3 colunas one-hot</t>
  </si>
  <si>
    <t xml:space="preserve">Paperless Billing</t>
  </si>
  <si>
    <t xml:space="preserve">Usa fatura eletrónica.</t>
  </si>
  <si>
    <t xml:space="preserve">Yes (4.171) · No (2.872)</t>
  </si>
  <si>
    <t xml:space="preserve">Payment Method</t>
  </si>
  <si>
    <t xml:space="preserve">Método de pagamento: Bank Withdrawal, Credit Card, Mailed Check.</t>
  </si>
  <si>
    <t xml:space="preserve">Bank Withdrawal (3.909) · Credit Card (2.749) · Mailed Check (385)</t>
  </si>
  <si>
    <t xml:space="preserve">Bank Withdrawal</t>
  </si>
  <si>
    <t xml:space="preserve">Monthly Charge</t>
  </si>
  <si>
    <t xml:space="preserve">Fatura mensal atual de todos os serviços.</t>
  </si>
  <si>
    <t xml:space="preserve">39.65</t>
  </si>
  <si>
    <t xml:space="preserve">Total Charges</t>
  </si>
  <si>
    <t xml:space="preserve">Encargos acumulados até ao fim do trimestre.</t>
  </si>
  <si>
    <t xml:space="preserve">Total Refunds</t>
  </si>
  <si>
    <t xml:space="preserve">Reembolsos acumulados até ao fim do trimestre.</t>
  </si>
  <si>
    <t xml:space="preserve">Mantida (+ flag has_refund)</t>
  </si>
  <si>
    <t xml:space="preserve">Total Extra Data Charges</t>
  </si>
  <si>
    <t xml:space="preserve">Encargos acumulados por dados extra.</t>
  </si>
  <si>
    <t xml:space="preserve">20</t>
  </si>
  <si>
    <t xml:space="preserve">Total Long Distance Charges</t>
  </si>
  <si>
    <t xml:space="preserve">Encargos acumulados de longa distância acima do plano.</t>
  </si>
  <si>
    <t xml:space="preserve">Total Revenue</t>
  </si>
  <si>
    <t xml:space="preserve">Charges − Refunds + Extra Data + Long Distance (identidade exata).</t>
  </si>
  <si>
    <t xml:space="preserve">59.65</t>
  </si>
  <si>
    <t xml:space="preserve">Excluída (identidade contabilística)</t>
  </si>
  <si>
    <t xml:space="preserve">Satisfaction Score</t>
  </si>
  <si>
    <t xml:space="preserve">Satisfação de 1 (muito insatisfeito) a 5 (muito satisfeito).</t>
  </si>
  <si>
    <t xml:space="preserve">3</t>
  </si>
  <si>
    <t xml:space="preserve">Suspeita de leakage</t>
  </si>
  <si>
    <t xml:space="preserve">Mantida nos CSV, fora das features</t>
  </si>
  <si>
    <t xml:space="preserve">Customer Status</t>
  </si>
  <si>
    <t xml:space="preserve">Estado no fim do trimestre: Churned, Stayed, Joined.</t>
  </si>
  <si>
    <t xml:space="preserve">Stayed (4.720) · Churned (1.869) · Joined (454)</t>
  </si>
  <si>
    <t xml:space="preserve">Leakage / target</t>
  </si>
  <si>
    <t xml:space="preserve">Origem do target churn; excluída</t>
  </si>
  <si>
    <t xml:space="preserve">Churn Label</t>
  </si>
  <si>
    <t xml:space="preserve">Yes se saiu no trimestre.</t>
  </si>
  <si>
    <t xml:space="preserve">No (5.174) · Yes (1.869)</t>
  </si>
  <si>
    <t xml:space="preserve">Leakage</t>
  </si>
  <si>
    <t xml:space="preserve">Excluída (= target)</t>
  </si>
  <si>
    <t xml:space="preserve">Churn Value</t>
  </si>
  <si>
    <t xml:space="preserve">1 se saiu no trimestre.</t>
  </si>
  <si>
    <t xml:space="preserve">Churn Score</t>
  </si>
  <si>
    <t xml:space="preserve">Score 0–100 do modelo IBM SPSS existente.</t>
  </si>
  <si>
    <t xml:space="preserve">91</t>
  </si>
  <si>
    <t xml:space="preserve">Benchmark</t>
  </si>
  <si>
    <t xml:space="preserve">CLTV</t>
  </si>
  <si>
    <t xml:space="preserve">Valor de vida do cliente previsto por fórmula corporativa.</t>
  </si>
  <si>
    <t xml:space="preserve">5433</t>
  </si>
  <si>
    <t xml:space="preserve">Priorização</t>
  </si>
  <si>
    <t xml:space="preserve">Churn Category</t>
  </si>
  <si>
    <t xml:space="preserve">Categoria do motivo de saída (só para quem saiu).</t>
  </si>
  <si>
    <t xml:space="preserve">Competitor (841) · Attitude (314) · Dissatisfaction (303) · Price (211) · Other (200)</t>
  </si>
  <si>
    <t xml:space="preserve">Competitor</t>
  </si>
  <si>
    <t xml:space="preserve">Excluída (pós-churn)</t>
  </si>
  <si>
    <t xml:space="preserve">Churn Reason</t>
  </si>
  <si>
    <t xml:space="preserve">Motivo específico de saída (só para quem saiu).</t>
  </si>
  <si>
    <t xml:space="preserve">20 valores distintos. Mais frequentes: Competitor had better devices (313) · Competitor made better offer (311) · Attitude of support person (220) · Don't know (130)</t>
  </si>
  <si>
    <t xml:space="preserve">Competitor offered more data</t>
  </si>
  <si>
    <t xml:space="preserve">Nota: em Churn Category e Churn Reason, as 5.174 células vazias correspondem a clientes que não saíram (esperado). 'None' em Offer e Internet Type é um valor real, não missing.</t>
  </si>
  <si>
    <t xml:space="preserve">Dataset final — 41 colunas (train.csv / test.csv)</t>
  </si>
  <si>
    <t xml:space="preserve">Estatísticas sobre a população de modelação (6.589 clientes) · tratamento aplicado no ColumnTransformer</t>
  </si>
  <si>
    <t xml:space="preserve">#</t>
  </si>
  <si>
    <t xml:space="preserve">Grupo</t>
  </si>
  <si>
    <t xml:space="preserve">Tipo</t>
  </si>
  <si>
    <t xml:space="preserve">Descrição</t>
  </si>
  <si>
    <t xml:space="preserve">Valores (modelação)</t>
  </si>
  <si>
    <t xml:space="preserve">Tratamento</t>
  </si>
  <si>
    <t xml:space="preserve">Saída após encoding</t>
  </si>
  <si>
    <t xml:space="preserve">Observações</t>
  </si>
  <si>
    <t xml:space="preserve">Todas</t>
  </si>
  <si>
    <t xml:space="preserve">Identificação</t>
  </si>
  <si>
    <t xml:space="preserve">Identificador único do cliente (chave de união dos ficheiros).</t>
  </si>
  <si>
    <t xml:space="preserve">7.043 valores únicos (6.589 na modelação)</t>
  </si>
  <si>
    <t xml:space="preserve">Chave — excluída das features</t>
  </si>
  <si>
    <t xml:space="preserve">—</t>
  </si>
  <si>
    <t xml:space="preserve">Não entra no modelo. Permite ligar previsões ao cliente.</t>
  </si>
  <si>
    <t xml:space="preserve">Negócio</t>
  </si>
  <si>
    <t xml:space="preserve">Inteira</t>
  </si>
  <si>
    <t xml:space="preserve">Valor de vida do cliente previsto por fórmulas corporativas.</t>
  </si>
  <si>
    <t xml:space="preserve">min 2.003 · mediana 4.552 · máx 6.500</t>
  </si>
  <si>
    <t xml:space="preserve">Não é feature: usado na priorização P(churn) × CLTV.</t>
  </si>
  <si>
    <t xml:space="preserve">Score 0–100 do modelo IBM SPSS existente; mais alto = maior risco.</t>
  </si>
  <si>
    <t xml:space="preserve">min 5 · mediana 63 · máx 96</t>
  </si>
  <si>
    <t xml:space="preserve">Benchmark: AUC 0,941 no holdout. Não é feature.</t>
  </si>
  <si>
    <t xml:space="preserve">Satisfação global de 1 (muito insatisfeito) a 5 (muito satisfeito).</t>
  </si>
  <si>
    <t xml:space="preserve">min 1 · mediana 3 · máx 5</t>
  </si>
  <si>
    <t xml:space="preserve">Suspeita de leakage (1–2 ⇒ 100% churn). Testar com e sem.</t>
  </si>
  <si>
    <t xml:space="preserve">Numérica</t>
  </si>
  <si>
    <t xml:space="preserve">Idade do cliente em anos no fim do trimestre.</t>
  </si>
  <si>
    <t xml:space="preserve">min 19 · mediana 46 · máx 80</t>
  </si>
  <si>
    <t xml:space="preserve">Imputação pela mediana · árvores: valor original · linear: + StandardScaler</t>
  </si>
  <si>
    <t xml:space="preserve">Substitui Under 30 e Senior Citizen (derivadas).</t>
  </si>
  <si>
    <t xml:space="preserve">min 0 · mediana 0 · máx 9</t>
  </si>
  <si>
    <t xml:space="preserve">Substitui Dependents (derivada). Muitos zeros.</t>
  </si>
  <si>
    <t xml:space="preserve">Contínua</t>
  </si>
  <si>
    <t xml:space="preserve">min 32,56 · mediana 36,25 · máx 41,96</t>
  </si>
  <si>
    <t xml:space="preserve">Representa a geografia em vez de City/Zip Code.</t>
  </si>
  <si>
    <t xml:space="preserve">min -124,30 · mediana -119,60 · máx -114,19</t>
  </si>
  <si>
    <t xml:space="preserve">Correlação −0,87 com Latitude (forma da Califórnia).</t>
  </si>
  <si>
    <t xml:space="preserve">População estimada da área do ZIP code do cliente.</t>
  </si>
  <si>
    <t xml:space="preserve">min 11 · mediana 17.372 · máx 105.285</t>
  </si>
  <si>
    <t xml:space="preserve">Unida por Zip Code (N:1). Cobertura 100%.</t>
  </si>
  <si>
    <t xml:space="preserve">Nº de amigos referenciados pelo cliente até à data.</t>
  </si>
  <si>
    <t xml:space="preserve">min 0 · mediana 0 · máx 11</t>
  </si>
  <si>
    <t xml:space="preserve">Substitui Referred a Friend (derivada).</t>
  </si>
  <si>
    <t xml:space="preserve">min 1 · mediana 32 · máx 72</t>
  </si>
  <si>
    <t xml:space="preserve">Maior Mutual Information com o churn. ρ = 0,87 com Total Charges.</t>
  </si>
  <si>
    <t xml:space="preserve">Média mensal de encargos de chamadas de longa distância.</t>
  </si>
  <si>
    <t xml:space="preserve">min 0 · mediana 22,92 · máx 49,99</t>
  </si>
  <si>
    <t xml:space="preserve">0 para clientes sem telefone.</t>
  </si>
  <si>
    <t xml:space="preserve">min 0 · mediana 17 · máx 85</t>
  </si>
  <si>
    <t xml:space="preserve">0 para clientes sem internet.</t>
  </si>
  <si>
    <t xml:space="preserve">min 18,25 · mediana 72,85 · máx 118,75</t>
  </si>
  <si>
    <t xml:space="preserve">min 18,85 · mediana 1.564 · máx 8.685</t>
  </si>
  <si>
    <t xml:space="preserve">Cumulativa: cresce com a antiguidade.</t>
  </si>
  <si>
    <t xml:space="preserve">min 0 · mediana 0 · máx 49,79</t>
  </si>
  <si>
    <t xml:space="preserve">Inflacionada de zeros → criada has_refund.</t>
  </si>
  <si>
    <t xml:space="preserve">min 0 · mediana 0 · máx 150</t>
  </si>
  <si>
    <t xml:space="preserve">Inflacionada de zeros.</t>
  </si>
  <si>
    <t xml:space="preserve">min 0 · mediana 472,68 · máx 3.565</t>
  </si>
  <si>
    <t xml:space="preserve">Cumulativa.</t>
  </si>
  <si>
    <t xml:space="preserve">n_add_on_services</t>
  </si>
  <si>
    <t xml:space="preserve">Feature engineering</t>
  </si>
  <si>
    <t xml:space="preserve">Numérica criada</t>
  </si>
  <si>
    <t xml:space="preserve">Nº de serviços adicionais subscritos (0–8): segurança, backup, proteção, suporte, 3 streamings, dados ilimitados.</t>
  </si>
  <si>
    <t xml:space="preserve">min 0 · mediana 3 · máx 8</t>
  </si>
  <si>
    <t xml:space="preserve">Proxy de envolvimento com a operadora.</t>
  </si>
  <si>
    <t xml:space="preserve">avg_hist_charge</t>
  </si>
  <si>
    <t xml:space="preserve">Fatura média histórica: Total Charges ÷ Tenure in Months.</t>
  </si>
  <si>
    <t xml:space="preserve">min 13,83 · mediana 72,25 · máx 121,40</t>
  </si>
  <si>
    <t xml:space="preserve">Tenure com mínimo de 1 para evitar divisão por zero.</t>
  </si>
  <si>
    <t xml:space="preserve">charge_delta</t>
  </si>
  <si>
    <t xml:space="preserve">Monthly Charge − avg_hist_charge.</t>
  </si>
  <si>
    <t xml:space="preserve">min -18,90 · mediana 0 · máx 19,13</t>
  </si>
  <si>
    <t xml:space="preserve">Positivo ≈ aumento de preço recente.</t>
  </si>
  <si>
    <t xml:space="preserve">Categórica</t>
  </si>
  <si>
    <t xml:space="preserve">Male 50% · Female 50%</t>
  </si>
  <si>
    <t xml:space="preserve">One-hot (drop='if_binary') → 1 coluna</t>
  </si>
  <si>
    <t xml:space="preserve">Gender_Male</t>
  </si>
  <si>
    <t xml:space="preserve">Cramér's V ≈ 0: sem associação com o churn.</t>
  </si>
  <si>
    <t xml:space="preserve">Yes 50% · No 50%</t>
  </si>
  <si>
    <t xml:space="preserve">Married_Yes</t>
  </si>
  <si>
    <t xml:space="preserve">Não casados: ~37% churn vs ~20% casados.</t>
  </si>
  <si>
    <t xml:space="preserve">Nominal (6)</t>
  </si>
  <si>
    <t xml:space="preserve">Última oferta aceite. 'None' é um valor real (sem oferta).</t>
  </si>
  <si>
    <t xml:space="preserve">None 55% · Offer B 12% · Offer E 10% · Offer D 9% · Offer A 8% · Offer C 6%</t>
  </si>
  <si>
    <t xml:space="preserve">One-hot → 6 colunas (uma por categoria)</t>
  </si>
  <si>
    <t xml:space="preserve">Offer_&lt;categoria&gt; ×6</t>
  </si>
  <si>
    <t xml:space="preserve">Offer E ~68% churn. Preservar 'None' na leitura (keep_default_na=False).</t>
  </si>
  <si>
    <t xml:space="preserve">Subscreve serviço de telefone fixo.</t>
  </si>
  <si>
    <t xml:space="preserve">Yes 90% · No 10%</t>
  </si>
  <si>
    <t xml:space="preserve">Phone Service_Yes</t>
  </si>
  <si>
    <t xml:space="preserve">90% Yes: pouca variabilidade.</t>
  </si>
  <si>
    <t xml:space="preserve">No 56% · Yes 44%</t>
  </si>
  <si>
    <t xml:space="preserve">Multiple Lines_Yes</t>
  </si>
  <si>
    <t xml:space="preserve">Subscreve internet (flag, não é a tecnologia).</t>
  </si>
  <si>
    <t xml:space="preserve">Yes 80% · No 20%</t>
  </si>
  <si>
    <t xml:space="preserve">Internet Service_Yes</t>
  </si>
  <si>
    <t xml:space="preserve">No ⇔ Internet Type = None.</t>
  </si>
  <si>
    <t xml:space="preserve">Nominal (4)</t>
  </si>
  <si>
    <t xml:space="preserve">Tecnologia de ligação. 'None' = sem internet.</t>
  </si>
  <si>
    <t xml:space="preserve">Fiber Optic 44% · DSL 23% · None 20% · Cable 12%</t>
  </si>
  <si>
    <t xml:space="preserve">One-hot → 4 colunas (uma por categoria)</t>
  </si>
  <si>
    <t xml:space="preserve">Internet Type_&lt;categoria&gt; ×4</t>
  </si>
  <si>
    <t xml:space="preserve">Fiber Optic ~42% churn; sem internet ~8%. Cramér's V ≈ 0,30.</t>
  </si>
  <si>
    <t xml:space="preserve">No 70% · Yes 30%</t>
  </si>
  <si>
    <t xml:space="preserve">Online Security_Yes</t>
  </si>
  <si>
    <t xml:space="preserve">No 64% · Yes 36%</t>
  </si>
  <si>
    <t xml:space="preserve">Online Backup_Yes</t>
  </si>
  <si>
    <t xml:space="preserve">Device Protection Plan_Yes</t>
  </si>
  <si>
    <t xml:space="preserve">Premium Tech Support_Yes</t>
  </si>
  <si>
    <t xml:space="preserve">Usa a internet para streaming de TV de terceiros.</t>
  </si>
  <si>
    <t xml:space="preserve">No 60% · Yes 40%</t>
  </si>
  <si>
    <t xml:space="preserve">Streaming TV_Yes</t>
  </si>
  <si>
    <t xml:space="preserve">Usa a internet para streaming de filmes de terceiros.</t>
  </si>
  <si>
    <t xml:space="preserve">No 59% · Yes 41%</t>
  </si>
  <si>
    <t xml:space="preserve">Streaming Movies_Yes</t>
  </si>
  <si>
    <t xml:space="preserve">Usa a internet para streaming de música de terceiros.</t>
  </si>
  <si>
    <t xml:space="preserve">No 63% · Yes 37%</t>
  </si>
  <si>
    <t xml:space="preserve">Streaming Music_Yes</t>
  </si>
  <si>
    <t xml:space="preserve">Yes 69% · No 31%</t>
  </si>
  <si>
    <t xml:space="preserve">Unlimited Data_Yes</t>
  </si>
  <si>
    <t xml:space="preserve">Ordinal (3)</t>
  </si>
  <si>
    <t xml:space="preserve">Tipo de contrato atual.</t>
  </si>
  <si>
    <t xml:space="preserve">Month-to-Month 49% · Two Year 28% · One Year 23%</t>
  </si>
  <si>
    <t xml:space="preserve">One-hot → 3 colunas (uma por categoria)</t>
  </si>
  <si>
    <t xml:space="preserve">Contract_&lt;categoria&gt; ×3</t>
  </si>
  <si>
    <t xml:space="preserve">Associação mais forte (V ≈ 0,51): Month-to-Month ~52% churn vs ~3% Two Year.</t>
  </si>
  <si>
    <t xml:space="preserve">Yes 60% · No 40%</t>
  </si>
  <si>
    <t xml:space="preserve">Paperless Billing_Yes</t>
  </si>
  <si>
    <t xml:space="preserve">Nominal (3)</t>
  </si>
  <si>
    <t xml:space="preserve">Método de pagamento.</t>
  </si>
  <si>
    <t xml:space="preserve">Bank Withdrawal 57% · Credit Card 38% · Mailed Check 5%</t>
  </si>
  <si>
    <t xml:space="preserve">Payment Method_&lt;categoria&gt; ×3</t>
  </si>
  <si>
    <t xml:space="preserve">Mailed Check é rara (~5%) mas com ~41% de churn.</t>
  </si>
  <si>
    <t xml:space="preserve">has_refund</t>
  </si>
  <si>
    <t xml:space="preserve">Categórica criada</t>
  </si>
  <si>
    <t xml:space="preserve">Teve algum reembolso (Total Refunds &gt; 0).</t>
  </si>
  <si>
    <t xml:space="preserve">No 92% · Yes 8%</t>
  </si>
  <si>
    <t xml:space="preserve">has_refund_Yes</t>
  </si>
  <si>
    <t xml:space="preserve">Flag para variável inflacionada de zeros.</t>
  </si>
  <si>
    <t xml:space="preserve">Binária 0/1</t>
  </si>
  <si>
    <t xml:space="preserve">1 se Customer Status = Churned; 0 se Stayed.</t>
  </si>
  <si>
    <t xml:space="preserve">0 = 71,6% · 1 = 28,4%</t>
  </si>
  <si>
    <t xml:space="preserve">Variável de resposta (y)</t>
  </si>
  <si>
    <t xml:space="preserve">y</t>
  </si>
  <si>
    <t xml:space="preserve">Taxa de 28,4%. Joined excluídos do modelo.</t>
  </si>
  <si>
    <t xml:space="preserve">Resumo por grupo</t>
  </si>
  <si>
    <t xml:space="preserve">Colunas que não chegam ao dataset final</t>
  </si>
  <si>
    <t xml:space="preserve">18 campos originais e a justificação de cada exclusão</t>
  </si>
  <si>
    <t xml:space="preserve">Motivo</t>
  </si>
  <si>
    <t xml:space="preserve">Justificação</t>
  </si>
  <si>
    <t xml:space="preserve">Removida antes da união: campo de contagem para dashboards.</t>
  </si>
  <si>
    <t xml:space="preserve">Removida antes da união: constante Q3.</t>
  </si>
  <si>
    <t xml:space="preserve">ID (Population)</t>
  </si>
  <si>
    <t xml:space="preserve">Removida antes da união: identificador da linha da tabela Population.</t>
  </si>
  <si>
    <t xml:space="preserve">Constante (United States).</t>
  </si>
  <si>
    <t xml:space="preserve">Constante (California).</t>
  </si>
  <si>
    <t xml:space="preserve">Texto que duplica Latitude e Longitude.</t>
  </si>
  <si>
    <t xml:space="preserve">~1.100 categorias; ruído no one-hot. Testar com TargetEncoder no Pipeline.</t>
  </si>
  <si>
    <t xml:space="preserve">Identificador geográfico; usado só para unir Population.</t>
  </si>
  <si>
    <t xml:space="preserve">Derivada exata de Age (&lt; 30).</t>
  </si>
  <si>
    <t xml:space="preserve">Derivada exata de Age (≥ 65).</t>
  </si>
  <si>
    <t xml:space="preserve">Derivada exata de Number of Dependents (&gt; 0).</t>
  </si>
  <si>
    <t xml:space="preserve">Derivada exata de Number of Referrals (&gt; 0).</t>
  </si>
  <si>
    <t xml:space="preserve">Identidade: Charges − Refunds + Extra Data + Long Distance.</t>
  </si>
  <si>
    <t xml:space="preserve">Codifica o resultado (deu origem ao target).</t>
  </si>
  <si>
    <t xml:space="preserve">Mesmo resultado em Yes/No.</t>
  </si>
  <si>
    <t xml:space="preserve">Mesmo resultado em 1/0.</t>
  </si>
  <si>
    <t xml:space="preserve">Só existe para quem saiu (pós-churn).</t>
  </si>
  <si>
    <t xml:space="preserve">Legenda dos campos e tipos de variável</t>
  </si>
  <si>
    <t xml:space="preserve">Como ler as folhas deste ficheiro</t>
  </si>
  <si>
    <t xml:space="preserve">Termo</t>
  </si>
  <si>
    <t xml:space="preserve">Significado</t>
  </si>
  <si>
    <t xml:space="preserve">Formato técnico lido pelo pandas: Inteiro, Decimal ou Texto.</t>
  </si>
  <si>
    <t xml:space="preserve">Valores reais num intervalo (ex.: Monthly Charge, Latitude).</t>
  </si>
  <si>
    <t xml:space="preserve">Contagens ou inteiros (ex.: Tenure in Months, Number of Referrals).</t>
  </si>
  <si>
    <t xml:space="preserve">Duas categorias (Yes/No, Male/Female, 0/1). Gera 1 coluna no one-hot.</t>
  </si>
  <si>
    <t xml:space="preserve">Categorias sem ordem (ex.: Payment Method). Gera 1 coluna por categoria.</t>
  </si>
  <si>
    <t xml:space="preserve">Categorias com ordem natural (ex.: Contract, Satisfaction Score).</t>
  </si>
  <si>
    <t xml:space="preserve">O mesmo valor em todas as linhas: sem informação para o modelo.</t>
  </si>
  <si>
    <t xml:space="preserve">Identificador / Chave</t>
  </si>
  <si>
    <t xml:space="preserve">Serve para ligar tabelas; não é característica do cliente.</t>
  </si>
  <si>
    <t xml:space="preserve">Células vazias ou NaN. 'None' em Offer/Internet Type não conta como missing.</t>
  </si>
  <si>
    <t xml:space="preserve">Entra no modelo como variável explicativa.</t>
  </si>
  <si>
    <t xml:space="preserve">Constante, duplicada ou derivação exata de outra coluna.</t>
  </si>
  <si>
    <t xml:space="preserve">Codifica o resultado ou só existe após o churn; usá-la falsearia a performance.</t>
  </si>
  <si>
    <t xml:space="preserve">Churn Score do modelo IBM: referência de AUC a superar, não é feature.</t>
  </si>
  <si>
    <t xml:space="preserve">CLTV: usado para ordenar a intervenção por P(churn) × CLTV.</t>
  </si>
  <si>
    <t xml:space="preserve">Satisfaction Score: scores 1–2 correspondem a 100% de churn; testar com e sem.</t>
  </si>
  <si>
    <t xml:space="preserve">Cores</t>
  </si>
  <si>
    <t xml:space="preserve">Azul = cabeçalhos e numéricas · verde = categóricas/features · amarelo = target ou suspeita · rosa = leakage · cinzento = redundante/reporting.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</si>
</sst>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0"/>
      <color rgb="FF5F63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F6368"/>
      <name val="Arial"/>
      <family val="0"/>
      <charset val="1"/>
    </font>
    <font>
      <b val="true"/>
      <sz val="12"/>
      <color rgb="FF3777FF"/>
      <name val="Arial"/>
      <family val="0"/>
      <charset val="1"/>
    </font>
    <font>
      <b val="true"/>
      <sz val="11"/>
      <color rgb="FF3777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E071"/>
        <bgColor rgb="FF00FF00"/>
      </patternFill>
    </fill>
    <fill>
      <patternFill patternType="solid">
        <fgColor rgb="FF3777FF"/>
        <bgColor rgb="FF0066CC"/>
      </patternFill>
    </fill>
    <fill>
      <patternFill patternType="solid">
        <fgColor rgb="FFEEF3FF"/>
        <bgColor rgb="FFF1F3F4"/>
      </patternFill>
    </fill>
    <fill>
      <patternFill patternType="solid">
        <fgColor rgb="FFE8FBF1"/>
        <bgColor rgb="FFF1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3777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BF1"/>
          <bgColor rgb="FF000000"/>
        </patternFill>
      </fill>
    </dxf>
    <dxf>
      <fill>
        <patternFill patternType="solid">
          <fgColor rgb="FFEEF3FF"/>
          <bgColor rgb="FF000000"/>
        </patternFill>
      </fill>
    </dxf>
    <dxf>
      <fill>
        <patternFill patternType="solid">
          <fgColor rgb="FFF1F3F4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>
          <bgColor rgb="FFFDE7E9"/>
        </patternFill>
      </fill>
    </dxf>
    <dxf>
      <fill>
        <patternFill>
          <bgColor rgb="FFF1F3F4"/>
        </patternFill>
      </fill>
    </dxf>
    <dxf>
      <fill>
        <patternFill>
          <bgColor rgb="FFE8FBF1"/>
        </patternFill>
      </fill>
    </dxf>
    <dxf>
      <fill>
        <patternFill>
          <bgColor rgb="FFEEF3FF"/>
        </patternFill>
      </fill>
    </dxf>
    <dxf>
      <fill>
        <patternFill>
          <bgColor rgb="FFFFF4D6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8FBF1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F"/>
      <rgbColor rgb="FFF1F3F4"/>
      <rgbColor rgb="FFFDE7E9"/>
      <rgbColor rgb="FF99CCFF"/>
      <rgbColor rgb="FFFF99CC"/>
      <rgbColor rgb="FFCC99FF"/>
      <rgbColor rgb="FFFFCC99"/>
      <rgbColor rgb="FF3777FF"/>
      <rgbColor rgb="FF0EE071"/>
      <rgbColor rgb="FF99CC00"/>
      <rgbColor rgb="FFFFCC00"/>
      <rgbColor rgb="FFFF9900"/>
      <rgbColor rgb="FFFF6600"/>
      <rgbColor rgb="FF5F63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setFinal" displayName="DatasetFinal" ref="A5:J46" headerRowCount="1" totalsRowCount="0" totalsRowShown="0">
  <autoFilter ref="A5:J46"/>
  <tableColumns count="10">
    <tableColumn id="1" name="#"/>
    <tableColumn id="2" name="Coluna"/>
    <tableColumn id="3" name="Fonte"/>
    <tableColumn id="4" name="Grupo"/>
    <tableColumn id="5" name="Tipo"/>
    <tableColumn id="6" name="Descrição"/>
    <tableColumn id="7" name="Valores (modelação)"/>
    <tableColumn id="8" name="Tratamento"/>
    <tableColumn id="9" name="Saída após encoding"/>
    <tableColumn id="10" name="Observações"/>
  </tableColumns>
</table>
</file>

<file path=xl/tables/table2.xml><?xml version="1.0" encoding="utf-8"?>
<table xmlns="http://schemas.openxmlformats.org/spreadsheetml/2006/main" id="2" name="DicionarioFontes" displayName="DicionarioFontes" ref="A5:Q67" headerRowCount="1" totalsRowCount="0" totalsRowShown="0">
  <autoFilter ref="A5:Q67"/>
  <tableColumns count="17">
    <tableColumn id="1" name="Fonte"/>
    <tableColumn id="2" name="Coluna"/>
    <tableColumn id="3" name="Descrição / o que contém"/>
    <tableColumn id="4" name="Tipo de dados"/>
    <tableColumn id="5" name="Tipo de variável"/>
    <tableColumn id="6" name="Nº linhas"/>
    <tableColumn id="7" name="Valores distintos"/>
    <tableColumn id="8" name="Missing / vazios"/>
    <tableColumn id="9" name="% missing"/>
    <tableColumn id="10" name="Mínimo"/>
    <tableColumn id="11" name="Mediana"/>
    <tableColumn id="12" name="Média"/>
    <tableColumn id="13" name="Máximo"/>
    <tableColumn id="14" name="Categorias e frequências"/>
    <tableColumn id="15" name="Exemplo"/>
    <tableColumn id="16" name="Papel no projeto"/>
    <tableColumn id="17" name="Decisão no dataset final"/>
  </tableColumns>
</table>
</file>

<file path=xl/tables/table3.xml><?xml version="1.0" encoding="utf-8"?>
<table xmlns="http://schemas.openxmlformats.org/spreadsheetml/2006/main" id="3" name="Excluidas" displayName="Excluidas" ref="A5:C23" headerRowCount="1" totalsRowCount="0" totalsRowShown="0">
  <autoFilter ref="A5:C23"/>
  <tableColumns count="3">
    <tableColumn id="1" name="Coluna"/>
    <tableColumn id="2" name="Motivo"/>
    <tableColumn id="3" name="Justific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77FF"/>
    <pageSetUpPr fitToPage="fals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0"/>
    <col collapsed="false" customWidth="true" hidden="false" outlineLevel="0" max="4" min="4" style="0" width="16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.75" hidden="false" customHeight="true" outlineLevel="0" collapsed="false">
      <c r="A3" s="3"/>
      <c r="B3" s="3"/>
      <c r="C3" s="3"/>
    </row>
    <row r="5" customFormat="false" ht="31.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15" hidden="false" customHeight="false" outlineLevel="0" collapsed="false">
      <c r="A6" s="5" t="s">
        <v>12</v>
      </c>
      <c r="B6" s="5" t="s">
        <v>13</v>
      </c>
      <c r="C6" s="5" t="s">
        <v>14</v>
      </c>
      <c r="D6" s="5" t="s">
        <v>15</v>
      </c>
      <c r="E6" s="6" t="n">
        <f aca="false">INDEX(Dicionario_Fontes!$F$6:$F$67,MATCH(A6,Dicionario_Fontes!$A$6:$A$67,0))</f>
        <v>7043</v>
      </c>
      <c r="F6" s="6" t="n">
        <f aca="false">COUNTIF(Dicionario_Fontes!$A$6:$A$67,A6)</f>
        <v>9</v>
      </c>
      <c r="G6" s="6" t="n">
        <f aca="false">COUNTIFS(Dicionario_Fontes!$A$6:$A$67,A6,Dicionario_Fontes!$P$6:$P$67,"Feature")</f>
        <v>4</v>
      </c>
      <c r="H6" s="6" t="n">
        <f aca="false">COUNTIFS(Dicionario_Fontes!$A$6:$A$67,A6,Dicionario_Fontes!$P$6:$P$67,"Chave")</f>
        <v>1</v>
      </c>
      <c r="I6" s="6" t="n">
        <f aca="false">COUNTIFS(Dicionario_Fontes!$A$6:$A$67,A6,Dicionario_Fontes!$P$6:$P$67,"Benchmark")+COUNTIFS(Dicionario_Fontes!$A$6:$A$67,A6,Dicionario_Fontes!$P$6:$P$67,"Priorização")+COUNTIFS(Dicionario_Fontes!$A$6:$A$67,A6,Dicionario_Fontes!$P$6:$P$67,"Suspeita*")</f>
        <v>0</v>
      </c>
      <c r="J6" s="6" t="n">
        <f aca="false">F6-G6-H6-I6</f>
        <v>4</v>
      </c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14</v>
      </c>
      <c r="D7" s="5" t="s">
        <v>15</v>
      </c>
      <c r="E7" s="6" t="n">
        <f aca="false">INDEX(Dicionario_Fontes!$F$6:$F$67,MATCH(A7,Dicionario_Fontes!$A$6:$A$67,0))</f>
        <v>7043</v>
      </c>
      <c r="F7" s="6" t="n">
        <f aca="false">COUNTIF(Dicionario_Fontes!$A$6:$A$67,A7)</f>
        <v>9</v>
      </c>
      <c r="G7" s="6" t="n">
        <f aca="false">COUNTIFS(Dicionario_Fontes!$A$6:$A$67,A7,Dicionario_Fontes!$P$6:$P$67,"Feature")</f>
        <v>2</v>
      </c>
      <c r="H7" s="6" t="n">
        <f aca="false">COUNTIFS(Dicionario_Fontes!$A$6:$A$67,A7,Dicionario_Fontes!$P$6:$P$67,"Chave")</f>
        <v>2</v>
      </c>
      <c r="I7" s="6" t="n">
        <f aca="false">COUNTIFS(Dicionario_Fontes!$A$6:$A$67,A7,Dicionario_Fontes!$P$6:$P$67,"Benchmark")+COUNTIFS(Dicionario_Fontes!$A$6:$A$67,A7,Dicionario_Fontes!$P$6:$P$67,"Priorização")+COUNTIFS(Dicionario_Fontes!$A$6:$A$67,A7,Dicionario_Fontes!$P$6:$P$67,"Suspeita*")</f>
        <v>0</v>
      </c>
      <c r="J7" s="6" t="n">
        <f aca="false">F7-G7-H7-I7</f>
        <v>5</v>
      </c>
    </row>
    <row r="8" customFormat="false" ht="15" hidden="false" customHeight="false" outlineLevel="0" collapsed="false">
      <c r="A8" s="5" t="s">
        <v>18</v>
      </c>
      <c r="B8" s="5" t="s">
        <v>19</v>
      </c>
      <c r="C8" s="5" t="s">
        <v>20</v>
      </c>
      <c r="D8" s="5" t="s">
        <v>21</v>
      </c>
      <c r="E8" s="6" t="n">
        <f aca="false">INDEX(Dicionario_Fontes!$F$6:$F$67,MATCH(A8,Dicionario_Fontes!$A$6:$A$67,0))</f>
        <v>1671</v>
      </c>
      <c r="F8" s="6" t="n">
        <f aca="false">COUNTIF(Dicionario_Fontes!$A$6:$A$67,A8)</f>
        <v>3</v>
      </c>
      <c r="G8" s="6" t="n">
        <f aca="false">COUNTIFS(Dicionario_Fontes!$A$6:$A$67,A8,Dicionario_Fontes!$P$6:$P$67,"Feature")</f>
        <v>1</v>
      </c>
      <c r="H8" s="6" t="n">
        <f aca="false">COUNTIFS(Dicionario_Fontes!$A$6:$A$67,A8,Dicionario_Fontes!$P$6:$P$67,"Chave")</f>
        <v>1</v>
      </c>
      <c r="I8" s="6" t="n">
        <f aca="false">COUNTIFS(Dicionario_Fontes!$A$6:$A$67,A8,Dicionario_Fontes!$P$6:$P$67,"Benchmark")+COUNTIFS(Dicionario_Fontes!$A$6:$A$67,A8,Dicionario_Fontes!$P$6:$P$67,"Priorização")+COUNTIFS(Dicionario_Fontes!$A$6:$A$67,A8,Dicionario_Fontes!$P$6:$P$67,"Suspeita*")</f>
        <v>0</v>
      </c>
      <c r="J8" s="6" t="n">
        <f aca="false">F8-G8-H8-I8</f>
        <v>1</v>
      </c>
    </row>
    <row r="9" customFormat="false" ht="15" hidden="false" customHeight="false" outlineLevel="0" collapsed="false">
      <c r="A9" s="5" t="s">
        <v>22</v>
      </c>
      <c r="B9" s="5" t="s">
        <v>23</v>
      </c>
      <c r="C9" s="5" t="s">
        <v>14</v>
      </c>
      <c r="D9" s="5" t="s">
        <v>15</v>
      </c>
      <c r="E9" s="6" t="n">
        <f aca="false">INDEX(Dicionario_Fontes!$F$6:$F$67,MATCH(A9,Dicionario_Fontes!$A$6:$A$67,0))</f>
        <v>7043</v>
      </c>
      <c r="F9" s="6" t="n">
        <f aca="false">COUNTIF(Dicionario_Fontes!$A$6:$A$67,A9)</f>
        <v>30</v>
      </c>
      <c r="G9" s="6" t="n">
        <f aca="false">COUNTIFS(Dicionario_Fontes!$A$6:$A$67,A9,Dicionario_Fontes!$P$6:$P$67,"Feature")</f>
        <v>25</v>
      </c>
      <c r="H9" s="6" t="n">
        <f aca="false">COUNTIFS(Dicionario_Fontes!$A$6:$A$67,A9,Dicionario_Fontes!$P$6:$P$67,"Chave")</f>
        <v>1</v>
      </c>
      <c r="I9" s="6" t="n">
        <f aca="false">COUNTIFS(Dicionario_Fontes!$A$6:$A$67,A9,Dicionario_Fontes!$P$6:$P$67,"Benchmark")+COUNTIFS(Dicionario_Fontes!$A$6:$A$67,A9,Dicionario_Fontes!$P$6:$P$67,"Priorização")+COUNTIFS(Dicionario_Fontes!$A$6:$A$67,A9,Dicionario_Fontes!$P$6:$P$67,"Suspeita*")</f>
        <v>0</v>
      </c>
      <c r="J9" s="6" t="n">
        <f aca="false">F9-G9-H9-I9</f>
        <v>4</v>
      </c>
    </row>
    <row r="10" customFormat="false" ht="15" hidden="false" customHeight="false" outlineLevel="0" collapsed="false">
      <c r="A10" s="5" t="s">
        <v>24</v>
      </c>
      <c r="B10" s="5" t="s">
        <v>25</v>
      </c>
      <c r="C10" s="5" t="s">
        <v>14</v>
      </c>
      <c r="D10" s="5" t="s">
        <v>15</v>
      </c>
      <c r="E10" s="6" t="n">
        <f aca="false">INDEX(Dicionario_Fontes!$F$6:$F$67,MATCH(A10,Dicionario_Fontes!$A$6:$A$67,0))</f>
        <v>7043</v>
      </c>
      <c r="F10" s="6" t="n">
        <f aca="false">COUNTIF(Dicionario_Fontes!$A$6:$A$67,A10)</f>
        <v>11</v>
      </c>
      <c r="G10" s="6" t="n">
        <f aca="false">COUNTIFS(Dicionario_Fontes!$A$6:$A$67,A10,Dicionario_Fontes!$P$6:$P$67,"Feature")</f>
        <v>0</v>
      </c>
      <c r="H10" s="6" t="n">
        <f aca="false">COUNTIFS(Dicionario_Fontes!$A$6:$A$67,A10,Dicionario_Fontes!$P$6:$P$67,"Chave")</f>
        <v>1</v>
      </c>
      <c r="I10" s="6" t="n">
        <f aca="false">COUNTIFS(Dicionario_Fontes!$A$6:$A$67,A10,Dicionario_Fontes!$P$6:$P$67,"Benchmark")+COUNTIFS(Dicionario_Fontes!$A$6:$A$67,A10,Dicionario_Fontes!$P$6:$P$67,"Priorização")+COUNTIFS(Dicionario_Fontes!$A$6:$A$67,A10,Dicionario_Fontes!$P$6:$P$67,"Suspeita*")</f>
        <v>3</v>
      </c>
      <c r="J10" s="6" t="n">
        <f aca="false">F10-G10-H10-I10</f>
        <v>7</v>
      </c>
    </row>
    <row r="11" customFormat="false" ht="15" hidden="false" customHeight="false" outlineLevel="0" collapsed="false">
      <c r="A11" s="7" t="s">
        <v>26</v>
      </c>
      <c r="B11" s="8"/>
      <c r="C11" s="8"/>
      <c r="D11" s="8"/>
      <c r="E11" s="8"/>
      <c r="F11" s="9" t="n">
        <f aca="false">SUM(F6:F10)</f>
        <v>62</v>
      </c>
      <c r="G11" s="9" t="n">
        <f aca="false">SUM(G6:G10)</f>
        <v>32</v>
      </c>
      <c r="H11" s="9" t="n">
        <f aca="false">SUM(H6:H10)</f>
        <v>6</v>
      </c>
      <c r="I11" s="9" t="n">
        <f aca="false">SUM(I6:I10)</f>
        <v>3</v>
      </c>
      <c r="J11" s="9" t="n">
        <f aca="false">SUM(J6:J10)</f>
        <v>21</v>
      </c>
    </row>
    <row r="12" customFormat="false" ht="15" hidden="false" customHeight="false" outlineLevel="0" collapsed="false">
      <c r="A12" s="10" t="s">
        <v>27</v>
      </c>
    </row>
    <row r="14" customFormat="false" ht="15" hidden="false" customHeight="false" outlineLevel="0" collapsed="false">
      <c r="A14" s="11" t="s">
        <v>28</v>
      </c>
    </row>
    <row r="15" customFormat="false" ht="31.5" hidden="false" customHeight="true" outlineLevel="0" collapsed="false">
      <c r="A15" s="4" t="s">
        <v>29</v>
      </c>
      <c r="B15" s="4" t="s">
        <v>30</v>
      </c>
      <c r="C15" s="4" t="s">
        <v>31</v>
      </c>
      <c r="D15" s="4" t="s">
        <v>32</v>
      </c>
    </row>
    <row r="16" customFormat="false" ht="15" hidden="false" customHeight="false" outlineLevel="0" collapsed="false">
      <c r="A16" s="5" t="s">
        <v>33</v>
      </c>
      <c r="B16" s="6" t="n">
        <v>4720</v>
      </c>
      <c r="C16" s="12" t="n">
        <f aca="false">B16/$B$19</f>
        <v>0.670168962090018</v>
      </c>
      <c r="D16" s="5" t="s">
        <v>34</v>
      </c>
    </row>
    <row r="17" customFormat="false" ht="15" hidden="false" customHeight="false" outlineLevel="0" collapsed="false">
      <c r="A17" s="5" t="s">
        <v>35</v>
      </c>
      <c r="B17" s="6" t="n">
        <v>1869</v>
      </c>
      <c r="C17" s="12" t="n">
        <f aca="false">B17/$B$19</f>
        <v>0.265369870793696</v>
      </c>
      <c r="D17" s="5" t="s">
        <v>36</v>
      </c>
    </row>
    <row r="18" customFormat="false" ht="15" hidden="false" customHeight="false" outlineLevel="0" collapsed="false">
      <c r="A18" s="5" t="s">
        <v>37</v>
      </c>
      <c r="B18" s="6" t="n">
        <v>454</v>
      </c>
      <c r="C18" s="12" t="n">
        <f aca="false">B18/$B$19</f>
        <v>0.0644611671162857</v>
      </c>
      <c r="D18" s="5" t="s">
        <v>38</v>
      </c>
    </row>
    <row r="19" customFormat="false" ht="15" hidden="false" customHeight="false" outlineLevel="0" collapsed="false">
      <c r="A19" s="13" t="s">
        <v>39</v>
      </c>
      <c r="B19" s="9" t="n">
        <f aca="false">SUM(B16:B18)</f>
        <v>7043</v>
      </c>
      <c r="C19" s="14" t="n">
        <f aca="false">B19/$B$19</f>
        <v>1</v>
      </c>
      <c r="D19" s="13"/>
    </row>
    <row r="20" customFormat="false" ht="15" hidden="false" customHeight="false" outlineLevel="0" collapsed="false">
      <c r="A20" s="13" t="s">
        <v>40</v>
      </c>
      <c r="B20" s="9" t="n">
        <f aca="false">B16+B17</f>
        <v>6589</v>
      </c>
      <c r="C20" s="14" t="n">
        <f aca="false">B20/$B$19</f>
        <v>0.935538832883714</v>
      </c>
      <c r="D20" s="13" t="s">
        <v>41</v>
      </c>
    </row>
    <row r="21" customFormat="false" ht="15" hidden="false" customHeight="false" outlineLevel="0" collapsed="false">
      <c r="A21" s="5" t="s">
        <v>42</v>
      </c>
      <c r="B21" s="12" t="n">
        <f aca="false">B17/B20</f>
        <v>0.283654575808165</v>
      </c>
      <c r="C21" s="12"/>
      <c r="D21" s="5"/>
    </row>
    <row r="22" customFormat="false" ht="15" hidden="false" customHeight="false" outlineLevel="0" collapsed="false">
      <c r="A22" s="5" t="s">
        <v>43</v>
      </c>
      <c r="B22" s="6" t="n">
        <v>5271</v>
      </c>
      <c r="C22" s="12" t="n">
        <f aca="false">B22/$B$20</f>
        <v>0.799969646380331</v>
      </c>
      <c r="D22" s="5" t="s">
        <v>44</v>
      </c>
    </row>
    <row r="23" customFormat="false" ht="15" hidden="false" customHeight="false" outlineLevel="0" collapsed="false">
      <c r="A23" s="5" t="s">
        <v>45</v>
      </c>
      <c r="B23" s="6" t="n">
        <f aca="false">B20-B22</f>
        <v>1318</v>
      </c>
      <c r="C23" s="12" t="n">
        <f aca="false">B23/$B$20</f>
        <v>0.200030353619669</v>
      </c>
      <c r="D23" s="5" t="s">
        <v>44</v>
      </c>
    </row>
    <row r="24" customFormat="false" ht="15" hidden="false" customHeight="false" outlineLevel="0" collapsed="false">
      <c r="A24" s="10" t="s">
        <v>46</v>
      </c>
    </row>
    <row r="26" customFormat="false" ht="15" hidden="false" customHeight="false" outlineLevel="0" collapsed="false">
      <c r="A26" s="11" t="s">
        <v>47</v>
      </c>
    </row>
    <row r="27" customFormat="false" ht="31.5" hidden="false" customHeight="true" outlineLevel="0" collapsed="false">
      <c r="A27" s="4" t="s">
        <v>48</v>
      </c>
      <c r="B27" s="4" t="s">
        <v>7</v>
      </c>
      <c r="C27" s="4" t="s">
        <v>49</v>
      </c>
    </row>
    <row r="28" customFormat="false" ht="15" hidden="false" customHeight="false" outlineLevel="0" collapsed="false">
      <c r="A28" s="5" t="s">
        <v>50</v>
      </c>
      <c r="B28" s="6" t="n">
        <f aca="false">SUM(F6:F10)</f>
        <v>62</v>
      </c>
      <c r="C28" s="5" t="s">
        <v>51</v>
      </c>
    </row>
    <row r="29" customFormat="false" ht="15" hidden="false" customHeight="false" outlineLevel="0" collapsed="false">
      <c r="A29" s="5" t="s">
        <v>52</v>
      </c>
      <c r="B29" s="6" t="n">
        <v>51</v>
      </c>
      <c r="C29" s="5" t="s">
        <v>53</v>
      </c>
    </row>
    <row r="30" customFormat="false" ht="15" hidden="false" customHeight="false" outlineLevel="0" collapsed="false">
      <c r="A30" s="5" t="s">
        <v>54</v>
      </c>
      <c r="B30" s="6" t="n">
        <v>-15</v>
      </c>
      <c r="C30" s="5" t="s">
        <v>55</v>
      </c>
    </row>
    <row r="31" customFormat="false" ht="15" hidden="false" customHeight="false" outlineLevel="0" collapsed="false">
      <c r="A31" s="5" t="s">
        <v>56</v>
      </c>
      <c r="B31" s="6" t="n">
        <v>4</v>
      </c>
      <c r="C31" s="5" t="s">
        <v>57</v>
      </c>
    </row>
    <row r="32" customFormat="false" ht="15" hidden="false" customHeight="false" outlineLevel="0" collapsed="false">
      <c r="A32" s="5" t="s">
        <v>58</v>
      </c>
      <c r="B32" s="6" t="n">
        <v>1</v>
      </c>
      <c r="C32" s="5" t="s">
        <v>59</v>
      </c>
    </row>
    <row r="33" customFormat="false" ht="15" hidden="false" customHeight="false" outlineLevel="0" collapsed="false">
      <c r="A33" s="15" t="s">
        <v>60</v>
      </c>
      <c r="B33" s="16" t="n">
        <f aca="false">SUM(B29:B32)</f>
        <v>41</v>
      </c>
      <c r="C33" s="15" t="s">
        <v>61</v>
      </c>
    </row>
    <row r="34" customFormat="false" ht="15" hidden="false" customHeight="false" outlineLevel="0" collapsed="false">
      <c r="A34" s="5" t="s">
        <v>62</v>
      </c>
      <c r="B34" s="6" t="n">
        <v>48</v>
      </c>
      <c r="C34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77FF"/>
    <pageSetUpPr fitToPage="false"/>
  </sheetPr>
  <dimension ref="A1:Q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3" min="10" style="0" width="11"/>
    <col collapsed="false" customWidth="true" hidden="false" outlineLevel="0" max="14" min="14" style="0" width="55"/>
    <col collapsed="false" customWidth="true" hidden="false" outlineLevel="0" max="15" min="15" style="0" width="22"/>
    <col collapsed="false" customWidth="true" hidden="false" outlineLevel="0" max="16" min="16" style="0" width="18"/>
    <col collapsed="false" customWidth="true" hidden="false" outlineLevel="0" max="17" min="17" style="0" width="34"/>
  </cols>
  <sheetData>
    <row r="1" customFormat="false" ht="25.5" hidden="false" customHeight="tru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3.75" hidden="false" customHeight="true" outlineLevel="0" collapsed="false">
      <c r="A3" s="3"/>
      <c r="B3" s="3"/>
      <c r="C3" s="3"/>
    </row>
    <row r="5" customFormat="false" ht="31.5" hidden="false" customHeight="true" outlineLevel="0" collapsed="false">
      <c r="A5" s="4" t="s">
        <v>2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6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74</v>
      </c>
      <c r="L5" s="4" t="s">
        <v>75</v>
      </c>
      <c r="M5" s="4" t="s">
        <v>76</v>
      </c>
      <c r="N5" s="4" t="s">
        <v>77</v>
      </c>
      <c r="O5" s="4" t="s">
        <v>78</v>
      </c>
      <c r="P5" s="4" t="s">
        <v>79</v>
      </c>
      <c r="Q5" s="4" t="s">
        <v>80</v>
      </c>
    </row>
    <row r="6" customFormat="false" ht="23.85" hidden="false" customHeight="false" outlineLevel="0" collapsed="false">
      <c r="A6" s="17" t="s">
        <v>12</v>
      </c>
      <c r="B6" s="18" t="s">
        <v>15</v>
      </c>
      <c r="C6" s="17" t="s">
        <v>81</v>
      </c>
      <c r="D6" s="17" t="s">
        <v>82</v>
      </c>
      <c r="E6" s="17" t="s">
        <v>83</v>
      </c>
      <c r="F6" s="19" t="n">
        <v>7043</v>
      </c>
      <c r="G6" s="19" t="n">
        <v>7043</v>
      </c>
      <c r="H6" s="19" t="n">
        <v>0</v>
      </c>
      <c r="I6" s="12" t="n">
        <f aca="false">IFERROR(H6/F6,0)</f>
        <v>0</v>
      </c>
      <c r="J6" s="20"/>
      <c r="K6" s="20"/>
      <c r="L6" s="20"/>
      <c r="M6" s="20"/>
      <c r="N6" s="17" t="s">
        <v>84</v>
      </c>
      <c r="O6" s="17" t="s">
        <v>85</v>
      </c>
      <c r="P6" s="17" t="s">
        <v>86</v>
      </c>
      <c r="Q6" s="17" t="s">
        <v>87</v>
      </c>
    </row>
    <row r="7" customFormat="false" ht="23.85" hidden="false" customHeight="false" outlineLevel="0" collapsed="false">
      <c r="A7" s="17" t="s">
        <v>12</v>
      </c>
      <c r="B7" s="18" t="s">
        <v>88</v>
      </c>
      <c r="C7" s="17" t="s">
        <v>89</v>
      </c>
      <c r="D7" s="17" t="s">
        <v>90</v>
      </c>
      <c r="E7" s="17" t="s">
        <v>91</v>
      </c>
      <c r="F7" s="19" t="n">
        <v>7043</v>
      </c>
      <c r="G7" s="19" t="n">
        <v>1</v>
      </c>
      <c r="H7" s="19" t="n">
        <v>0</v>
      </c>
      <c r="I7" s="12" t="n">
        <f aca="false">IFERROR(H7/F7,0)</f>
        <v>0</v>
      </c>
      <c r="J7" s="20"/>
      <c r="K7" s="20"/>
      <c r="L7" s="20"/>
      <c r="M7" s="20"/>
      <c r="N7" s="17" t="s">
        <v>92</v>
      </c>
      <c r="O7" s="17" t="s">
        <v>93</v>
      </c>
      <c r="P7" s="17" t="s">
        <v>94</v>
      </c>
      <c r="Q7" s="17" t="s">
        <v>95</v>
      </c>
    </row>
    <row r="8" customFormat="false" ht="15" hidden="false" customHeight="false" outlineLevel="0" collapsed="false">
      <c r="A8" s="17" t="s">
        <v>12</v>
      </c>
      <c r="B8" s="18" t="s">
        <v>96</v>
      </c>
      <c r="C8" s="17" t="s">
        <v>97</v>
      </c>
      <c r="D8" s="17" t="s">
        <v>82</v>
      </c>
      <c r="E8" s="17" t="s">
        <v>98</v>
      </c>
      <c r="F8" s="19" t="n">
        <v>7043</v>
      </c>
      <c r="G8" s="19" t="n">
        <v>2</v>
      </c>
      <c r="H8" s="19" t="n">
        <v>0</v>
      </c>
      <c r="I8" s="12" t="n">
        <f aca="false">IFERROR(H8/F8,0)</f>
        <v>0</v>
      </c>
      <c r="J8" s="20"/>
      <c r="K8" s="20"/>
      <c r="L8" s="20"/>
      <c r="M8" s="20"/>
      <c r="N8" s="17" t="s">
        <v>99</v>
      </c>
      <c r="O8" s="17" t="s">
        <v>100</v>
      </c>
      <c r="P8" s="17" t="s">
        <v>101</v>
      </c>
      <c r="Q8" s="17" t="s">
        <v>102</v>
      </c>
    </row>
    <row r="9" customFormat="false" ht="15" hidden="false" customHeight="false" outlineLevel="0" collapsed="false">
      <c r="A9" s="17" t="s">
        <v>12</v>
      </c>
      <c r="B9" s="18" t="s">
        <v>103</v>
      </c>
      <c r="C9" s="17" t="s">
        <v>104</v>
      </c>
      <c r="D9" s="17" t="s">
        <v>90</v>
      </c>
      <c r="E9" s="17" t="s">
        <v>105</v>
      </c>
      <c r="F9" s="19" t="n">
        <v>7043</v>
      </c>
      <c r="G9" s="19" t="n">
        <v>62</v>
      </c>
      <c r="H9" s="19" t="n">
        <v>0</v>
      </c>
      <c r="I9" s="12" t="n">
        <f aca="false">IFERROR(H9/F9,0)</f>
        <v>0</v>
      </c>
      <c r="J9" s="20" t="n">
        <v>19</v>
      </c>
      <c r="K9" s="20" t="n">
        <v>46</v>
      </c>
      <c r="L9" s="20" t="n">
        <v>46.5097259690473</v>
      </c>
      <c r="M9" s="20" t="n">
        <v>80</v>
      </c>
      <c r="N9" s="17"/>
      <c r="O9" s="17" t="s">
        <v>106</v>
      </c>
      <c r="P9" s="17" t="s">
        <v>101</v>
      </c>
      <c r="Q9" s="17" t="s">
        <v>107</v>
      </c>
    </row>
    <row r="10" customFormat="false" ht="15" hidden="false" customHeight="false" outlineLevel="0" collapsed="false">
      <c r="A10" s="17" t="s">
        <v>12</v>
      </c>
      <c r="B10" s="18" t="s">
        <v>108</v>
      </c>
      <c r="C10" s="17" t="s">
        <v>109</v>
      </c>
      <c r="D10" s="17" t="s">
        <v>82</v>
      </c>
      <c r="E10" s="17" t="s">
        <v>98</v>
      </c>
      <c r="F10" s="19" t="n">
        <v>7043</v>
      </c>
      <c r="G10" s="19" t="n">
        <v>2</v>
      </c>
      <c r="H10" s="19" t="n">
        <v>0</v>
      </c>
      <c r="I10" s="12" t="n">
        <f aca="false">IFERROR(H10/F10,0)</f>
        <v>0</v>
      </c>
      <c r="J10" s="20"/>
      <c r="K10" s="20"/>
      <c r="L10" s="20"/>
      <c r="M10" s="20"/>
      <c r="N10" s="17" t="s">
        <v>110</v>
      </c>
      <c r="O10" s="17" t="s">
        <v>111</v>
      </c>
      <c r="P10" s="17" t="s">
        <v>112</v>
      </c>
      <c r="Q10" s="17" t="s">
        <v>113</v>
      </c>
    </row>
    <row r="11" customFormat="false" ht="15" hidden="false" customHeight="false" outlineLevel="0" collapsed="false">
      <c r="A11" s="17" t="s">
        <v>12</v>
      </c>
      <c r="B11" s="18" t="s">
        <v>114</v>
      </c>
      <c r="C11" s="17" t="s">
        <v>115</v>
      </c>
      <c r="D11" s="17" t="s">
        <v>82</v>
      </c>
      <c r="E11" s="17" t="s">
        <v>98</v>
      </c>
      <c r="F11" s="19" t="n">
        <v>7043</v>
      </c>
      <c r="G11" s="19" t="n">
        <v>2</v>
      </c>
      <c r="H11" s="19" t="n">
        <v>0</v>
      </c>
      <c r="I11" s="12" t="n">
        <f aca="false">IFERROR(H11/F11,0)</f>
        <v>0</v>
      </c>
      <c r="J11" s="20"/>
      <c r="K11" s="20"/>
      <c r="L11" s="20"/>
      <c r="M11" s="20"/>
      <c r="N11" s="17" t="s">
        <v>116</v>
      </c>
      <c r="O11" s="17" t="s">
        <v>117</v>
      </c>
      <c r="P11" s="17" t="s">
        <v>112</v>
      </c>
      <c r="Q11" s="17" t="s">
        <v>113</v>
      </c>
    </row>
    <row r="12" customFormat="false" ht="15" hidden="false" customHeight="false" outlineLevel="0" collapsed="false">
      <c r="A12" s="17" t="s">
        <v>12</v>
      </c>
      <c r="B12" s="18" t="s">
        <v>118</v>
      </c>
      <c r="C12" s="17" t="s">
        <v>119</v>
      </c>
      <c r="D12" s="17" t="s">
        <v>82</v>
      </c>
      <c r="E12" s="17" t="s">
        <v>98</v>
      </c>
      <c r="F12" s="19" t="n">
        <v>7043</v>
      </c>
      <c r="G12" s="19" t="n">
        <v>2</v>
      </c>
      <c r="H12" s="19" t="n">
        <v>0</v>
      </c>
      <c r="I12" s="12" t="n">
        <f aca="false">IFERROR(H12/F12,0)</f>
        <v>0</v>
      </c>
      <c r="J12" s="20"/>
      <c r="K12" s="20"/>
      <c r="L12" s="20"/>
      <c r="M12" s="20"/>
      <c r="N12" s="17" t="s">
        <v>120</v>
      </c>
      <c r="O12" s="17" t="s">
        <v>111</v>
      </c>
      <c r="P12" s="17" t="s">
        <v>101</v>
      </c>
      <c r="Q12" s="17" t="s">
        <v>121</v>
      </c>
    </row>
    <row r="13" customFormat="false" ht="15" hidden="false" customHeight="false" outlineLevel="0" collapsed="false">
      <c r="A13" s="17" t="s">
        <v>12</v>
      </c>
      <c r="B13" s="18" t="s">
        <v>122</v>
      </c>
      <c r="C13" s="17" t="s">
        <v>123</v>
      </c>
      <c r="D13" s="17" t="s">
        <v>82</v>
      </c>
      <c r="E13" s="17" t="s">
        <v>98</v>
      </c>
      <c r="F13" s="19" t="n">
        <v>7043</v>
      </c>
      <c r="G13" s="19" t="n">
        <v>2</v>
      </c>
      <c r="H13" s="19" t="n">
        <v>0</v>
      </c>
      <c r="I13" s="12" t="n">
        <f aca="false">IFERROR(H13/F13,0)</f>
        <v>0</v>
      </c>
      <c r="J13" s="20"/>
      <c r="K13" s="20"/>
      <c r="L13" s="20"/>
      <c r="M13" s="20"/>
      <c r="N13" s="17" t="s">
        <v>124</v>
      </c>
      <c r="O13" s="17" t="s">
        <v>111</v>
      </c>
      <c r="P13" s="17" t="s">
        <v>112</v>
      </c>
      <c r="Q13" s="17" t="s">
        <v>125</v>
      </c>
    </row>
    <row r="14" customFormat="false" ht="15" hidden="false" customHeight="false" outlineLevel="0" collapsed="false">
      <c r="A14" s="17" t="s">
        <v>12</v>
      </c>
      <c r="B14" s="18" t="s">
        <v>126</v>
      </c>
      <c r="C14" s="17" t="s">
        <v>127</v>
      </c>
      <c r="D14" s="17" t="s">
        <v>90</v>
      </c>
      <c r="E14" s="17" t="s">
        <v>105</v>
      </c>
      <c r="F14" s="19" t="n">
        <v>7043</v>
      </c>
      <c r="G14" s="19" t="n">
        <v>10</v>
      </c>
      <c r="H14" s="19" t="n">
        <v>0</v>
      </c>
      <c r="I14" s="12" t="n">
        <f aca="false">IFERROR(H14/F14,0)</f>
        <v>0</v>
      </c>
      <c r="J14" s="20" t="n">
        <v>0</v>
      </c>
      <c r="K14" s="20" t="n">
        <v>0</v>
      </c>
      <c r="L14" s="20" t="n">
        <v>0.468692318614227</v>
      </c>
      <c r="M14" s="20" t="n">
        <v>9</v>
      </c>
      <c r="N14" s="17"/>
      <c r="O14" s="17" t="s">
        <v>128</v>
      </c>
      <c r="P14" s="17" t="s">
        <v>101</v>
      </c>
      <c r="Q14" s="17" t="s">
        <v>107</v>
      </c>
    </row>
    <row r="15" customFormat="false" ht="23.85" hidden="false" customHeight="false" outlineLevel="0" collapsed="false">
      <c r="A15" s="17" t="s">
        <v>16</v>
      </c>
      <c r="B15" s="18" t="s">
        <v>15</v>
      </c>
      <c r="C15" s="17" t="s">
        <v>81</v>
      </c>
      <c r="D15" s="17" t="s">
        <v>82</v>
      </c>
      <c r="E15" s="17" t="s">
        <v>83</v>
      </c>
      <c r="F15" s="19" t="n">
        <v>7043</v>
      </c>
      <c r="G15" s="19" t="n">
        <v>7043</v>
      </c>
      <c r="H15" s="19" t="n">
        <v>0</v>
      </c>
      <c r="I15" s="12" t="n">
        <f aca="false">IFERROR(H15/F15,0)</f>
        <v>0</v>
      </c>
      <c r="J15" s="20"/>
      <c r="K15" s="20"/>
      <c r="L15" s="20"/>
      <c r="M15" s="20"/>
      <c r="N15" s="17" t="s">
        <v>84</v>
      </c>
      <c r="O15" s="17" t="s">
        <v>85</v>
      </c>
      <c r="P15" s="17" t="s">
        <v>86</v>
      </c>
      <c r="Q15" s="17" t="s">
        <v>87</v>
      </c>
    </row>
    <row r="16" customFormat="false" ht="23.85" hidden="false" customHeight="false" outlineLevel="0" collapsed="false">
      <c r="A16" s="17" t="s">
        <v>16</v>
      </c>
      <c r="B16" s="18" t="s">
        <v>88</v>
      </c>
      <c r="C16" s="17" t="s">
        <v>89</v>
      </c>
      <c r="D16" s="17" t="s">
        <v>90</v>
      </c>
      <c r="E16" s="17" t="s">
        <v>91</v>
      </c>
      <c r="F16" s="19" t="n">
        <v>7043</v>
      </c>
      <c r="G16" s="19" t="n">
        <v>1</v>
      </c>
      <c r="H16" s="19" t="n">
        <v>0</v>
      </c>
      <c r="I16" s="12" t="n">
        <f aca="false">IFERROR(H16/F16,0)</f>
        <v>0</v>
      </c>
      <c r="J16" s="20"/>
      <c r="K16" s="20"/>
      <c r="L16" s="20"/>
      <c r="M16" s="20"/>
      <c r="N16" s="17" t="s">
        <v>92</v>
      </c>
      <c r="O16" s="17" t="s">
        <v>93</v>
      </c>
      <c r="P16" s="17" t="s">
        <v>94</v>
      </c>
      <c r="Q16" s="17" t="s">
        <v>95</v>
      </c>
    </row>
    <row r="17" customFormat="false" ht="15" hidden="false" customHeight="false" outlineLevel="0" collapsed="false">
      <c r="A17" s="17" t="s">
        <v>16</v>
      </c>
      <c r="B17" s="18" t="s">
        <v>129</v>
      </c>
      <c r="C17" s="17" t="s">
        <v>130</v>
      </c>
      <c r="D17" s="17" t="s">
        <v>82</v>
      </c>
      <c r="E17" s="17" t="s">
        <v>91</v>
      </c>
      <c r="F17" s="19" t="n">
        <v>7043</v>
      </c>
      <c r="G17" s="19" t="n">
        <v>1</v>
      </c>
      <c r="H17" s="19" t="n">
        <v>0</v>
      </c>
      <c r="I17" s="12" t="n">
        <f aca="false">IFERROR(H17/F17,0)</f>
        <v>0</v>
      </c>
      <c r="J17" s="20"/>
      <c r="K17" s="20"/>
      <c r="L17" s="20"/>
      <c r="M17" s="20"/>
      <c r="N17" s="17" t="s">
        <v>131</v>
      </c>
      <c r="O17" s="17" t="s">
        <v>132</v>
      </c>
      <c r="P17" s="17" t="s">
        <v>112</v>
      </c>
      <c r="Q17" s="17" t="s">
        <v>133</v>
      </c>
    </row>
    <row r="18" customFormat="false" ht="15" hidden="false" customHeight="false" outlineLevel="0" collapsed="false">
      <c r="A18" s="17" t="s">
        <v>16</v>
      </c>
      <c r="B18" s="18" t="s">
        <v>134</v>
      </c>
      <c r="C18" s="17" t="s">
        <v>135</v>
      </c>
      <c r="D18" s="17" t="s">
        <v>82</v>
      </c>
      <c r="E18" s="17" t="s">
        <v>91</v>
      </c>
      <c r="F18" s="19" t="n">
        <v>7043</v>
      </c>
      <c r="G18" s="19" t="n">
        <v>1</v>
      </c>
      <c r="H18" s="19" t="n">
        <v>0</v>
      </c>
      <c r="I18" s="12" t="n">
        <f aca="false">IFERROR(H18/F18,0)</f>
        <v>0</v>
      </c>
      <c r="J18" s="20"/>
      <c r="K18" s="20"/>
      <c r="L18" s="20"/>
      <c r="M18" s="20"/>
      <c r="N18" s="17" t="s">
        <v>136</v>
      </c>
      <c r="O18" s="17" t="s">
        <v>137</v>
      </c>
      <c r="P18" s="17" t="s">
        <v>112</v>
      </c>
      <c r="Q18" s="17" t="s">
        <v>133</v>
      </c>
    </row>
    <row r="19" customFormat="false" ht="23.85" hidden="false" customHeight="false" outlineLevel="0" collapsed="false">
      <c r="A19" s="17" t="s">
        <v>16</v>
      </c>
      <c r="B19" s="18" t="s">
        <v>138</v>
      </c>
      <c r="C19" s="17" t="s">
        <v>139</v>
      </c>
      <c r="D19" s="17" t="s">
        <v>82</v>
      </c>
      <c r="E19" s="17" t="s">
        <v>140</v>
      </c>
      <c r="F19" s="19" t="n">
        <v>7043</v>
      </c>
      <c r="G19" s="19" t="n">
        <v>1106</v>
      </c>
      <c r="H19" s="19" t="n">
        <v>0</v>
      </c>
      <c r="I19" s="12" t="n">
        <f aca="false">IFERROR(H19/F19,0)</f>
        <v>0</v>
      </c>
      <c r="J19" s="20"/>
      <c r="K19" s="20"/>
      <c r="L19" s="20"/>
      <c r="M19" s="20"/>
      <c r="N19" s="17" t="s">
        <v>141</v>
      </c>
      <c r="O19" s="17" t="s">
        <v>142</v>
      </c>
      <c r="P19" s="17" t="s">
        <v>112</v>
      </c>
      <c r="Q19" s="17" t="s">
        <v>143</v>
      </c>
    </row>
    <row r="20" customFormat="false" ht="23.85" hidden="false" customHeight="false" outlineLevel="0" collapsed="false">
      <c r="A20" s="17" t="s">
        <v>16</v>
      </c>
      <c r="B20" s="18" t="s">
        <v>21</v>
      </c>
      <c r="C20" s="17" t="s">
        <v>144</v>
      </c>
      <c r="D20" s="17" t="s">
        <v>90</v>
      </c>
      <c r="E20" s="17" t="s">
        <v>145</v>
      </c>
      <c r="F20" s="19" t="n">
        <v>7043</v>
      </c>
      <c r="G20" s="19" t="n">
        <v>1626</v>
      </c>
      <c r="H20" s="19" t="n">
        <v>0</v>
      </c>
      <c r="I20" s="12" t="n">
        <f aca="false">IFERROR(H20/F20,0)</f>
        <v>0</v>
      </c>
      <c r="J20" s="20"/>
      <c r="K20" s="20"/>
      <c r="L20" s="20"/>
      <c r="M20" s="20"/>
      <c r="N20" s="17"/>
      <c r="O20" s="17" t="s">
        <v>146</v>
      </c>
      <c r="P20" s="17" t="s">
        <v>86</v>
      </c>
      <c r="Q20" s="17" t="s">
        <v>147</v>
      </c>
    </row>
    <row r="21" customFormat="false" ht="35.05" hidden="false" customHeight="false" outlineLevel="0" collapsed="false">
      <c r="A21" s="17" t="s">
        <v>16</v>
      </c>
      <c r="B21" s="18" t="s">
        <v>148</v>
      </c>
      <c r="C21" s="17" t="s">
        <v>149</v>
      </c>
      <c r="D21" s="17" t="s">
        <v>82</v>
      </c>
      <c r="E21" s="17" t="s">
        <v>82</v>
      </c>
      <c r="F21" s="19" t="n">
        <v>7043</v>
      </c>
      <c r="G21" s="19" t="n">
        <v>1679</v>
      </c>
      <c r="H21" s="19" t="n">
        <v>0</v>
      </c>
      <c r="I21" s="12" t="n">
        <f aca="false">IFERROR(H21/F21,0)</f>
        <v>0</v>
      </c>
      <c r="J21" s="20"/>
      <c r="K21" s="20"/>
      <c r="L21" s="20"/>
      <c r="M21" s="20"/>
      <c r="N21" s="17" t="s">
        <v>150</v>
      </c>
      <c r="O21" s="17" t="s">
        <v>151</v>
      </c>
      <c r="P21" s="17" t="s">
        <v>112</v>
      </c>
      <c r="Q21" s="17" t="s">
        <v>152</v>
      </c>
    </row>
    <row r="22" customFormat="false" ht="15" hidden="false" customHeight="false" outlineLevel="0" collapsed="false">
      <c r="A22" s="17" t="s">
        <v>16</v>
      </c>
      <c r="B22" s="18" t="s">
        <v>153</v>
      </c>
      <c r="C22" s="17" t="s">
        <v>154</v>
      </c>
      <c r="D22" s="17" t="s">
        <v>155</v>
      </c>
      <c r="E22" s="17" t="s">
        <v>156</v>
      </c>
      <c r="F22" s="19" t="n">
        <v>7043</v>
      </c>
      <c r="G22" s="19" t="n">
        <v>1626</v>
      </c>
      <c r="H22" s="19" t="n">
        <v>0</v>
      </c>
      <c r="I22" s="12" t="n">
        <f aca="false">IFERROR(H22/F22,0)</f>
        <v>0</v>
      </c>
      <c r="J22" s="20" t="n">
        <v>32.555828</v>
      </c>
      <c r="K22" s="20" t="n">
        <v>36.205465</v>
      </c>
      <c r="L22" s="20" t="n">
        <v>36.1974548218089</v>
      </c>
      <c r="M22" s="20" t="n">
        <v>41.962127</v>
      </c>
      <c r="N22" s="17"/>
      <c r="O22" s="17" t="s">
        <v>157</v>
      </c>
      <c r="P22" s="17" t="s">
        <v>101</v>
      </c>
      <c r="Q22" s="17" t="s">
        <v>107</v>
      </c>
    </row>
    <row r="23" customFormat="false" ht="15" hidden="false" customHeight="false" outlineLevel="0" collapsed="false">
      <c r="A23" s="17" t="s">
        <v>16</v>
      </c>
      <c r="B23" s="18" t="s">
        <v>158</v>
      </c>
      <c r="C23" s="17" t="s">
        <v>159</v>
      </c>
      <c r="D23" s="17" t="s">
        <v>155</v>
      </c>
      <c r="E23" s="17" t="s">
        <v>156</v>
      </c>
      <c r="F23" s="19" t="n">
        <v>7043</v>
      </c>
      <c r="G23" s="19" t="n">
        <v>1625</v>
      </c>
      <c r="H23" s="19" t="n">
        <v>0</v>
      </c>
      <c r="I23" s="12" t="n">
        <f aca="false">IFERROR(H23/F23,0)</f>
        <v>0</v>
      </c>
      <c r="J23" s="20" t="n">
        <v>-124.301372</v>
      </c>
      <c r="K23" s="20" t="n">
        <v>-119.595293</v>
      </c>
      <c r="L23" s="20" t="n">
        <v>-119.756683674145</v>
      </c>
      <c r="M23" s="20" t="n">
        <v>-114.192901</v>
      </c>
      <c r="N23" s="17"/>
      <c r="O23" s="17" t="s">
        <v>160</v>
      </c>
      <c r="P23" s="17" t="s">
        <v>101</v>
      </c>
      <c r="Q23" s="17" t="s">
        <v>107</v>
      </c>
    </row>
    <row r="24" customFormat="false" ht="15" hidden="false" customHeight="false" outlineLevel="0" collapsed="false">
      <c r="A24" s="17" t="s">
        <v>18</v>
      </c>
      <c r="B24" s="18" t="s">
        <v>161</v>
      </c>
      <c r="C24" s="17" t="s">
        <v>162</v>
      </c>
      <c r="D24" s="17" t="s">
        <v>90</v>
      </c>
      <c r="E24" s="17" t="s">
        <v>83</v>
      </c>
      <c r="F24" s="19" t="n">
        <v>1671</v>
      </c>
      <c r="G24" s="19" t="n">
        <v>1671</v>
      </c>
      <c r="H24" s="19" t="n">
        <v>0</v>
      </c>
      <c r="I24" s="12" t="n">
        <f aca="false">IFERROR(H24/F24,0)</f>
        <v>0</v>
      </c>
      <c r="J24" s="20"/>
      <c r="K24" s="20"/>
      <c r="L24" s="20"/>
      <c r="M24" s="20"/>
      <c r="N24" s="17"/>
      <c r="O24" s="17" t="s">
        <v>93</v>
      </c>
      <c r="P24" s="17" t="s">
        <v>94</v>
      </c>
      <c r="Q24" s="17" t="s">
        <v>95</v>
      </c>
    </row>
    <row r="25" customFormat="false" ht="23.85" hidden="false" customHeight="false" outlineLevel="0" collapsed="false">
      <c r="A25" s="17" t="s">
        <v>18</v>
      </c>
      <c r="B25" s="18" t="s">
        <v>21</v>
      </c>
      <c r="C25" s="17" t="s">
        <v>144</v>
      </c>
      <c r="D25" s="17" t="s">
        <v>90</v>
      </c>
      <c r="E25" s="17" t="s">
        <v>145</v>
      </c>
      <c r="F25" s="19" t="n">
        <v>1671</v>
      </c>
      <c r="G25" s="19" t="n">
        <v>1671</v>
      </c>
      <c r="H25" s="19" t="n">
        <v>0</v>
      </c>
      <c r="I25" s="12" t="n">
        <f aca="false">IFERROR(H25/F25,0)</f>
        <v>0</v>
      </c>
      <c r="J25" s="20"/>
      <c r="K25" s="20"/>
      <c r="L25" s="20"/>
      <c r="M25" s="20"/>
      <c r="N25" s="17"/>
      <c r="O25" s="17" t="s">
        <v>163</v>
      </c>
      <c r="P25" s="17" t="s">
        <v>86</v>
      </c>
      <c r="Q25" s="17" t="s">
        <v>147</v>
      </c>
    </row>
    <row r="26" customFormat="false" ht="15" hidden="false" customHeight="false" outlineLevel="0" collapsed="false">
      <c r="A26" s="17" t="s">
        <v>18</v>
      </c>
      <c r="B26" s="18" t="s">
        <v>18</v>
      </c>
      <c r="C26" s="17" t="s">
        <v>164</v>
      </c>
      <c r="D26" s="17" t="s">
        <v>90</v>
      </c>
      <c r="E26" s="17" t="s">
        <v>105</v>
      </c>
      <c r="F26" s="19" t="n">
        <v>1671</v>
      </c>
      <c r="G26" s="19" t="n">
        <v>1607</v>
      </c>
      <c r="H26" s="19" t="n">
        <v>0</v>
      </c>
      <c r="I26" s="12" t="n">
        <f aca="false">IFERROR(H26/F26,0)</f>
        <v>0</v>
      </c>
      <c r="J26" s="20" t="n">
        <v>11</v>
      </c>
      <c r="K26" s="20" t="n">
        <v>14239</v>
      </c>
      <c r="L26" s="20" t="n">
        <v>20276.3842010772</v>
      </c>
      <c r="M26" s="20" t="n">
        <v>105285</v>
      </c>
      <c r="N26" s="17"/>
      <c r="O26" s="17" t="s">
        <v>165</v>
      </c>
      <c r="P26" s="17" t="s">
        <v>101</v>
      </c>
      <c r="Q26" s="17" t="s">
        <v>166</v>
      </c>
    </row>
    <row r="27" customFormat="false" ht="23.85" hidden="false" customHeight="false" outlineLevel="0" collapsed="false">
      <c r="A27" s="17" t="s">
        <v>22</v>
      </c>
      <c r="B27" s="18" t="s">
        <v>15</v>
      </c>
      <c r="C27" s="17" t="s">
        <v>81</v>
      </c>
      <c r="D27" s="17" t="s">
        <v>82</v>
      </c>
      <c r="E27" s="17" t="s">
        <v>83</v>
      </c>
      <c r="F27" s="19" t="n">
        <v>7043</v>
      </c>
      <c r="G27" s="19" t="n">
        <v>7043</v>
      </c>
      <c r="H27" s="19" t="n">
        <v>0</v>
      </c>
      <c r="I27" s="12" t="n">
        <f aca="false">IFERROR(H27/F27,0)</f>
        <v>0</v>
      </c>
      <c r="J27" s="20"/>
      <c r="K27" s="20"/>
      <c r="L27" s="20"/>
      <c r="M27" s="20"/>
      <c r="N27" s="17" t="s">
        <v>84</v>
      </c>
      <c r="O27" s="17" t="s">
        <v>85</v>
      </c>
      <c r="P27" s="17" t="s">
        <v>86</v>
      </c>
      <c r="Q27" s="17" t="s">
        <v>87</v>
      </c>
    </row>
    <row r="28" customFormat="false" ht="23.85" hidden="false" customHeight="false" outlineLevel="0" collapsed="false">
      <c r="A28" s="17" t="s">
        <v>22</v>
      </c>
      <c r="B28" s="18" t="s">
        <v>88</v>
      </c>
      <c r="C28" s="17" t="s">
        <v>89</v>
      </c>
      <c r="D28" s="17" t="s">
        <v>90</v>
      </c>
      <c r="E28" s="17" t="s">
        <v>91</v>
      </c>
      <c r="F28" s="19" t="n">
        <v>7043</v>
      </c>
      <c r="G28" s="19" t="n">
        <v>1</v>
      </c>
      <c r="H28" s="19" t="n">
        <v>0</v>
      </c>
      <c r="I28" s="12" t="n">
        <f aca="false">IFERROR(H28/F28,0)</f>
        <v>0</v>
      </c>
      <c r="J28" s="20"/>
      <c r="K28" s="20"/>
      <c r="L28" s="20"/>
      <c r="M28" s="20"/>
      <c r="N28" s="17" t="s">
        <v>92</v>
      </c>
      <c r="O28" s="17" t="s">
        <v>93</v>
      </c>
      <c r="P28" s="17" t="s">
        <v>94</v>
      </c>
      <c r="Q28" s="17" t="s">
        <v>95</v>
      </c>
    </row>
    <row r="29" customFormat="false" ht="15" hidden="false" customHeight="false" outlineLevel="0" collapsed="false">
      <c r="A29" s="17" t="s">
        <v>22</v>
      </c>
      <c r="B29" s="18" t="s">
        <v>167</v>
      </c>
      <c r="C29" s="17" t="s">
        <v>168</v>
      </c>
      <c r="D29" s="17" t="s">
        <v>82</v>
      </c>
      <c r="E29" s="17" t="s">
        <v>91</v>
      </c>
      <c r="F29" s="19" t="n">
        <v>7043</v>
      </c>
      <c r="G29" s="19" t="n">
        <v>1</v>
      </c>
      <c r="H29" s="19" t="n">
        <v>0</v>
      </c>
      <c r="I29" s="12" t="n">
        <f aca="false">IFERROR(H29/F29,0)</f>
        <v>0</v>
      </c>
      <c r="J29" s="20"/>
      <c r="K29" s="20"/>
      <c r="L29" s="20"/>
      <c r="M29" s="20"/>
      <c r="N29" s="17" t="s">
        <v>169</v>
      </c>
      <c r="O29" s="17" t="s">
        <v>170</v>
      </c>
      <c r="P29" s="17" t="s">
        <v>94</v>
      </c>
      <c r="Q29" s="17" t="s">
        <v>95</v>
      </c>
    </row>
    <row r="30" customFormat="false" ht="15" hidden="false" customHeight="false" outlineLevel="0" collapsed="false">
      <c r="A30" s="17" t="s">
        <v>22</v>
      </c>
      <c r="B30" s="18" t="s">
        <v>171</v>
      </c>
      <c r="C30" s="17" t="s">
        <v>172</v>
      </c>
      <c r="D30" s="17" t="s">
        <v>82</v>
      </c>
      <c r="E30" s="17" t="s">
        <v>98</v>
      </c>
      <c r="F30" s="19" t="n">
        <v>7043</v>
      </c>
      <c r="G30" s="19" t="n">
        <v>2</v>
      </c>
      <c r="H30" s="19" t="n">
        <v>0</v>
      </c>
      <c r="I30" s="12" t="n">
        <f aca="false">IFERROR(H30/F30,0)</f>
        <v>0</v>
      </c>
      <c r="J30" s="20"/>
      <c r="K30" s="20"/>
      <c r="L30" s="20"/>
      <c r="M30" s="20"/>
      <c r="N30" s="17" t="s">
        <v>173</v>
      </c>
      <c r="O30" s="17" t="s">
        <v>111</v>
      </c>
      <c r="P30" s="17" t="s">
        <v>112</v>
      </c>
      <c r="Q30" s="17" t="s">
        <v>125</v>
      </c>
    </row>
    <row r="31" customFormat="false" ht="15" hidden="false" customHeight="false" outlineLevel="0" collapsed="false">
      <c r="A31" s="17" t="s">
        <v>22</v>
      </c>
      <c r="B31" s="18" t="s">
        <v>174</v>
      </c>
      <c r="C31" s="17" t="s">
        <v>175</v>
      </c>
      <c r="D31" s="17" t="s">
        <v>90</v>
      </c>
      <c r="E31" s="17" t="s">
        <v>105</v>
      </c>
      <c r="F31" s="19" t="n">
        <v>7043</v>
      </c>
      <c r="G31" s="19" t="n">
        <v>12</v>
      </c>
      <c r="H31" s="19" t="n">
        <v>0</v>
      </c>
      <c r="I31" s="12" t="n">
        <f aca="false">IFERROR(H31/F31,0)</f>
        <v>0</v>
      </c>
      <c r="J31" s="20" t="n">
        <v>0</v>
      </c>
      <c r="K31" s="20" t="n">
        <v>0</v>
      </c>
      <c r="L31" s="20" t="n">
        <v>1.95186710208718</v>
      </c>
      <c r="M31" s="20" t="n">
        <v>11</v>
      </c>
      <c r="N31" s="17"/>
      <c r="O31" s="17" t="s">
        <v>128</v>
      </c>
      <c r="P31" s="17" t="s">
        <v>101</v>
      </c>
      <c r="Q31" s="17" t="s">
        <v>107</v>
      </c>
    </row>
    <row r="32" customFormat="false" ht="15" hidden="false" customHeight="false" outlineLevel="0" collapsed="false">
      <c r="A32" s="17" t="s">
        <v>22</v>
      </c>
      <c r="B32" s="18" t="s">
        <v>176</v>
      </c>
      <c r="C32" s="17" t="s">
        <v>177</v>
      </c>
      <c r="D32" s="17" t="s">
        <v>90</v>
      </c>
      <c r="E32" s="17" t="s">
        <v>105</v>
      </c>
      <c r="F32" s="19" t="n">
        <v>7043</v>
      </c>
      <c r="G32" s="19" t="n">
        <v>72</v>
      </c>
      <c r="H32" s="19" t="n">
        <v>0</v>
      </c>
      <c r="I32" s="12" t="n">
        <f aca="false">IFERROR(H32/F32,0)</f>
        <v>0</v>
      </c>
      <c r="J32" s="20" t="n">
        <v>1</v>
      </c>
      <c r="K32" s="20" t="n">
        <v>29</v>
      </c>
      <c r="L32" s="20" t="n">
        <v>32.3867670026977</v>
      </c>
      <c r="M32" s="20" t="n">
        <v>72</v>
      </c>
      <c r="N32" s="17"/>
      <c r="O32" s="17" t="s">
        <v>93</v>
      </c>
      <c r="P32" s="17" t="s">
        <v>101</v>
      </c>
      <c r="Q32" s="17" t="s">
        <v>107</v>
      </c>
    </row>
    <row r="33" customFormat="false" ht="23.85" hidden="false" customHeight="false" outlineLevel="0" collapsed="false">
      <c r="A33" s="17" t="s">
        <v>22</v>
      </c>
      <c r="B33" s="18" t="s">
        <v>178</v>
      </c>
      <c r="C33" s="17" t="s">
        <v>179</v>
      </c>
      <c r="D33" s="17" t="s">
        <v>82</v>
      </c>
      <c r="E33" s="17" t="s">
        <v>180</v>
      </c>
      <c r="F33" s="19" t="n">
        <v>7043</v>
      </c>
      <c r="G33" s="19" t="n">
        <v>6</v>
      </c>
      <c r="H33" s="19" t="n">
        <v>0</v>
      </c>
      <c r="I33" s="12" t="n">
        <f aca="false">IFERROR(H33/F33,0)</f>
        <v>0</v>
      </c>
      <c r="J33" s="20"/>
      <c r="K33" s="20"/>
      <c r="L33" s="20"/>
      <c r="M33" s="20"/>
      <c r="N33" s="17" t="s">
        <v>181</v>
      </c>
      <c r="O33" s="17" t="s">
        <v>182</v>
      </c>
      <c r="P33" s="17" t="s">
        <v>101</v>
      </c>
      <c r="Q33" s="17" t="s">
        <v>183</v>
      </c>
    </row>
    <row r="34" customFormat="false" ht="15" hidden="false" customHeight="false" outlineLevel="0" collapsed="false">
      <c r="A34" s="17" t="s">
        <v>22</v>
      </c>
      <c r="B34" s="18" t="s">
        <v>184</v>
      </c>
      <c r="C34" s="17" t="s">
        <v>185</v>
      </c>
      <c r="D34" s="17" t="s">
        <v>82</v>
      </c>
      <c r="E34" s="17" t="s">
        <v>98</v>
      </c>
      <c r="F34" s="19" t="n">
        <v>7043</v>
      </c>
      <c r="G34" s="19" t="n">
        <v>2</v>
      </c>
      <c r="H34" s="19" t="n">
        <v>0</v>
      </c>
      <c r="I34" s="12" t="n">
        <f aca="false">IFERROR(H34/F34,0)</f>
        <v>0</v>
      </c>
      <c r="J34" s="20"/>
      <c r="K34" s="20"/>
      <c r="L34" s="20"/>
      <c r="M34" s="20"/>
      <c r="N34" s="17" t="s">
        <v>186</v>
      </c>
      <c r="O34" s="17" t="s">
        <v>111</v>
      </c>
      <c r="P34" s="17" t="s">
        <v>101</v>
      </c>
      <c r="Q34" s="17" t="s">
        <v>187</v>
      </c>
    </row>
    <row r="35" customFormat="false" ht="23.85" hidden="false" customHeight="false" outlineLevel="0" collapsed="false">
      <c r="A35" s="17" t="s">
        <v>22</v>
      </c>
      <c r="B35" s="18" t="s">
        <v>188</v>
      </c>
      <c r="C35" s="17" t="s">
        <v>189</v>
      </c>
      <c r="D35" s="17" t="s">
        <v>155</v>
      </c>
      <c r="E35" s="17" t="s">
        <v>156</v>
      </c>
      <c r="F35" s="19" t="n">
        <v>7043</v>
      </c>
      <c r="G35" s="19" t="n">
        <v>3584</v>
      </c>
      <c r="H35" s="19" t="n">
        <v>0</v>
      </c>
      <c r="I35" s="12" t="n">
        <f aca="false">IFERROR(H35/F35,0)</f>
        <v>0</v>
      </c>
      <c r="J35" s="20" t="n">
        <v>0</v>
      </c>
      <c r="K35" s="20" t="n">
        <v>22.89</v>
      </c>
      <c r="L35" s="20" t="n">
        <v>22.9589535709215</v>
      </c>
      <c r="M35" s="20" t="n">
        <v>49.99</v>
      </c>
      <c r="N35" s="17"/>
      <c r="O35" s="17" t="s">
        <v>190</v>
      </c>
      <c r="P35" s="17" t="s">
        <v>101</v>
      </c>
      <c r="Q35" s="17" t="s">
        <v>107</v>
      </c>
    </row>
    <row r="36" customFormat="false" ht="15" hidden="false" customHeight="false" outlineLevel="0" collapsed="false">
      <c r="A36" s="17" t="s">
        <v>22</v>
      </c>
      <c r="B36" s="18" t="s">
        <v>191</v>
      </c>
      <c r="C36" s="17" t="s">
        <v>192</v>
      </c>
      <c r="D36" s="17" t="s">
        <v>82</v>
      </c>
      <c r="E36" s="17" t="s">
        <v>98</v>
      </c>
      <c r="F36" s="19" t="n">
        <v>7043</v>
      </c>
      <c r="G36" s="19" t="n">
        <v>2</v>
      </c>
      <c r="H36" s="19" t="n">
        <v>0</v>
      </c>
      <c r="I36" s="12" t="n">
        <f aca="false">IFERROR(H36/F36,0)</f>
        <v>0</v>
      </c>
      <c r="J36" s="20"/>
      <c r="K36" s="20"/>
      <c r="L36" s="20"/>
      <c r="M36" s="20"/>
      <c r="N36" s="17" t="s">
        <v>193</v>
      </c>
      <c r="O36" s="17" t="s">
        <v>111</v>
      </c>
      <c r="P36" s="17" t="s">
        <v>101</v>
      </c>
      <c r="Q36" s="17" t="s">
        <v>194</v>
      </c>
    </row>
    <row r="37" customFormat="false" ht="15" hidden="false" customHeight="false" outlineLevel="0" collapsed="false">
      <c r="A37" s="17" t="s">
        <v>22</v>
      </c>
      <c r="B37" s="18" t="s">
        <v>195</v>
      </c>
      <c r="C37" s="17" t="s">
        <v>196</v>
      </c>
      <c r="D37" s="17" t="s">
        <v>82</v>
      </c>
      <c r="E37" s="17" t="s">
        <v>98</v>
      </c>
      <c r="F37" s="19" t="n">
        <v>7043</v>
      </c>
      <c r="G37" s="19" t="n">
        <v>2</v>
      </c>
      <c r="H37" s="19" t="n">
        <v>0</v>
      </c>
      <c r="I37" s="12" t="n">
        <f aca="false">IFERROR(H37/F37,0)</f>
        <v>0</v>
      </c>
      <c r="J37" s="20"/>
      <c r="K37" s="20"/>
      <c r="L37" s="20"/>
      <c r="M37" s="20"/>
      <c r="N37" s="17" t="s">
        <v>197</v>
      </c>
      <c r="O37" s="17" t="s">
        <v>117</v>
      </c>
      <c r="P37" s="17" t="s">
        <v>101</v>
      </c>
      <c r="Q37" s="17" t="s">
        <v>198</v>
      </c>
    </row>
    <row r="38" customFormat="false" ht="23.85" hidden="false" customHeight="false" outlineLevel="0" collapsed="false">
      <c r="A38" s="17" t="s">
        <v>22</v>
      </c>
      <c r="B38" s="18" t="s">
        <v>199</v>
      </c>
      <c r="C38" s="17" t="s">
        <v>200</v>
      </c>
      <c r="D38" s="17" t="s">
        <v>82</v>
      </c>
      <c r="E38" s="17" t="s">
        <v>180</v>
      </c>
      <c r="F38" s="19" t="n">
        <v>7043</v>
      </c>
      <c r="G38" s="19" t="n">
        <v>4</v>
      </c>
      <c r="H38" s="19" t="n">
        <v>0</v>
      </c>
      <c r="I38" s="12" t="n">
        <f aca="false">IFERROR(H38/F38,0)</f>
        <v>0</v>
      </c>
      <c r="J38" s="20"/>
      <c r="K38" s="20"/>
      <c r="L38" s="20"/>
      <c r="M38" s="20"/>
      <c r="N38" s="17" t="s">
        <v>201</v>
      </c>
      <c r="O38" s="17" t="s">
        <v>202</v>
      </c>
      <c r="P38" s="17" t="s">
        <v>101</v>
      </c>
      <c r="Q38" s="17" t="s">
        <v>203</v>
      </c>
    </row>
    <row r="39" customFormat="false" ht="15" hidden="false" customHeight="false" outlineLevel="0" collapsed="false">
      <c r="A39" s="17" t="s">
        <v>22</v>
      </c>
      <c r="B39" s="18" t="s">
        <v>204</v>
      </c>
      <c r="C39" s="17" t="s">
        <v>205</v>
      </c>
      <c r="D39" s="17" t="s">
        <v>90</v>
      </c>
      <c r="E39" s="17" t="s">
        <v>105</v>
      </c>
      <c r="F39" s="19" t="n">
        <v>7043</v>
      </c>
      <c r="G39" s="19" t="n">
        <v>50</v>
      </c>
      <c r="H39" s="19" t="n">
        <v>0</v>
      </c>
      <c r="I39" s="12" t="n">
        <f aca="false">IFERROR(H39/F39,0)</f>
        <v>0</v>
      </c>
      <c r="J39" s="20" t="n">
        <v>0</v>
      </c>
      <c r="K39" s="20" t="n">
        <v>17</v>
      </c>
      <c r="L39" s="20" t="n">
        <v>20.5154053670311</v>
      </c>
      <c r="M39" s="20" t="n">
        <v>85</v>
      </c>
      <c r="N39" s="17"/>
      <c r="O39" s="17" t="s">
        <v>206</v>
      </c>
      <c r="P39" s="17" t="s">
        <v>101</v>
      </c>
      <c r="Q39" s="17" t="s">
        <v>107</v>
      </c>
    </row>
    <row r="40" customFormat="false" ht="15" hidden="false" customHeight="false" outlineLevel="0" collapsed="false">
      <c r="A40" s="17" t="s">
        <v>22</v>
      </c>
      <c r="B40" s="18" t="s">
        <v>207</v>
      </c>
      <c r="C40" s="17" t="s">
        <v>208</v>
      </c>
      <c r="D40" s="17" t="s">
        <v>82</v>
      </c>
      <c r="E40" s="17" t="s">
        <v>98</v>
      </c>
      <c r="F40" s="19" t="n">
        <v>7043</v>
      </c>
      <c r="G40" s="19" t="n">
        <v>2</v>
      </c>
      <c r="H40" s="19" t="n">
        <v>0</v>
      </c>
      <c r="I40" s="12" t="n">
        <f aca="false">IFERROR(H40/F40,0)</f>
        <v>0</v>
      </c>
      <c r="J40" s="20"/>
      <c r="K40" s="20"/>
      <c r="L40" s="20"/>
      <c r="M40" s="20"/>
      <c r="N40" s="17" t="s">
        <v>209</v>
      </c>
      <c r="O40" s="17" t="s">
        <v>111</v>
      </c>
      <c r="P40" s="17" t="s">
        <v>101</v>
      </c>
      <c r="Q40" s="17" t="s">
        <v>210</v>
      </c>
    </row>
    <row r="41" customFormat="false" ht="15" hidden="false" customHeight="false" outlineLevel="0" collapsed="false">
      <c r="A41" s="17" t="s">
        <v>22</v>
      </c>
      <c r="B41" s="18" t="s">
        <v>211</v>
      </c>
      <c r="C41" s="17" t="s">
        <v>212</v>
      </c>
      <c r="D41" s="17" t="s">
        <v>82</v>
      </c>
      <c r="E41" s="17" t="s">
        <v>98</v>
      </c>
      <c r="F41" s="19" t="n">
        <v>7043</v>
      </c>
      <c r="G41" s="19" t="n">
        <v>2</v>
      </c>
      <c r="H41" s="19" t="n">
        <v>0</v>
      </c>
      <c r="I41" s="12" t="n">
        <f aca="false">IFERROR(H41/F41,0)</f>
        <v>0</v>
      </c>
      <c r="J41" s="20"/>
      <c r="K41" s="20"/>
      <c r="L41" s="20"/>
      <c r="M41" s="20"/>
      <c r="N41" s="17" t="s">
        <v>213</v>
      </c>
      <c r="O41" s="17" t="s">
        <v>111</v>
      </c>
      <c r="P41" s="17" t="s">
        <v>101</v>
      </c>
      <c r="Q41" s="17" t="s">
        <v>210</v>
      </c>
    </row>
    <row r="42" customFormat="false" ht="15" hidden="false" customHeight="false" outlineLevel="0" collapsed="false">
      <c r="A42" s="17" t="s">
        <v>22</v>
      </c>
      <c r="B42" s="18" t="s">
        <v>214</v>
      </c>
      <c r="C42" s="17" t="s">
        <v>215</v>
      </c>
      <c r="D42" s="17" t="s">
        <v>82</v>
      </c>
      <c r="E42" s="17" t="s">
        <v>98</v>
      </c>
      <c r="F42" s="19" t="n">
        <v>7043</v>
      </c>
      <c r="G42" s="19" t="n">
        <v>2</v>
      </c>
      <c r="H42" s="19" t="n">
        <v>0</v>
      </c>
      <c r="I42" s="12" t="n">
        <f aca="false">IFERROR(H42/F42,0)</f>
        <v>0</v>
      </c>
      <c r="J42" s="20"/>
      <c r="K42" s="20"/>
      <c r="L42" s="20"/>
      <c r="M42" s="20"/>
      <c r="N42" s="17" t="s">
        <v>216</v>
      </c>
      <c r="O42" s="17" t="s">
        <v>117</v>
      </c>
      <c r="P42" s="17" t="s">
        <v>101</v>
      </c>
      <c r="Q42" s="17" t="s">
        <v>210</v>
      </c>
    </row>
    <row r="43" customFormat="false" ht="15" hidden="false" customHeight="false" outlineLevel="0" collapsed="false">
      <c r="A43" s="17" t="s">
        <v>22</v>
      </c>
      <c r="B43" s="18" t="s">
        <v>217</v>
      </c>
      <c r="C43" s="17" t="s">
        <v>218</v>
      </c>
      <c r="D43" s="17" t="s">
        <v>82</v>
      </c>
      <c r="E43" s="17" t="s">
        <v>98</v>
      </c>
      <c r="F43" s="19" t="n">
        <v>7043</v>
      </c>
      <c r="G43" s="19" t="n">
        <v>2</v>
      </c>
      <c r="H43" s="19" t="n">
        <v>0</v>
      </c>
      <c r="I43" s="12" t="n">
        <f aca="false">IFERROR(H43/F43,0)</f>
        <v>0</v>
      </c>
      <c r="J43" s="20"/>
      <c r="K43" s="20"/>
      <c r="L43" s="20"/>
      <c r="M43" s="20"/>
      <c r="N43" s="17" t="s">
        <v>219</v>
      </c>
      <c r="O43" s="17" t="s">
        <v>111</v>
      </c>
      <c r="P43" s="17" t="s">
        <v>101</v>
      </c>
      <c r="Q43" s="17" t="s">
        <v>210</v>
      </c>
    </row>
    <row r="44" customFormat="false" ht="15" hidden="false" customHeight="false" outlineLevel="0" collapsed="false">
      <c r="A44" s="17" t="s">
        <v>22</v>
      </c>
      <c r="B44" s="18" t="s">
        <v>220</v>
      </c>
      <c r="C44" s="17" t="s">
        <v>221</v>
      </c>
      <c r="D44" s="17" t="s">
        <v>82</v>
      </c>
      <c r="E44" s="17" t="s">
        <v>98</v>
      </c>
      <c r="F44" s="19" t="n">
        <v>7043</v>
      </c>
      <c r="G44" s="19" t="n">
        <v>2</v>
      </c>
      <c r="H44" s="19" t="n">
        <v>0</v>
      </c>
      <c r="I44" s="12" t="n">
        <f aca="false">IFERROR(H44/F44,0)</f>
        <v>0</v>
      </c>
      <c r="J44" s="20"/>
      <c r="K44" s="20"/>
      <c r="L44" s="20"/>
      <c r="M44" s="20"/>
      <c r="N44" s="17" t="s">
        <v>222</v>
      </c>
      <c r="O44" s="17" t="s">
        <v>111</v>
      </c>
      <c r="P44" s="17" t="s">
        <v>101</v>
      </c>
      <c r="Q44" s="17" t="s">
        <v>210</v>
      </c>
    </row>
    <row r="45" customFormat="false" ht="15" hidden="false" customHeight="false" outlineLevel="0" collapsed="false">
      <c r="A45" s="17" t="s">
        <v>22</v>
      </c>
      <c r="B45" s="18" t="s">
        <v>223</v>
      </c>
      <c r="C45" s="17" t="s">
        <v>224</v>
      </c>
      <c r="D45" s="17" t="s">
        <v>82</v>
      </c>
      <c r="E45" s="17" t="s">
        <v>98</v>
      </c>
      <c r="F45" s="19" t="n">
        <v>7043</v>
      </c>
      <c r="G45" s="19" t="n">
        <v>2</v>
      </c>
      <c r="H45" s="19" t="n">
        <v>0</v>
      </c>
      <c r="I45" s="12" t="n">
        <f aca="false">IFERROR(H45/F45,0)</f>
        <v>0</v>
      </c>
      <c r="J45" s="20"/>
      <c r="K45" s="20"/>
      <c r="L45" s="20"/>
      <c r="M45" s="20"/>
      <c r="N45" s="17" t="s">
        <v>225</v>
      </c>
      <c r="O45" s="17" t="s">
        <v>117</v>
      </c>
      <c r="P45" s="17" t="s">
        <v>101</v>
      </c>
      <c r="Q45" s="17" t="s">
        <v>210</v>
      </c>
    </row>
    <row r="46" customFormat="false" ht="15" hidden="false" customHeight="false" outlineLevel="0" collapsed="false">
      <c r="A46" s="17" t="s">
        <v>22</v>
      </c>
      <c r="B46" s="18" t="s">
        <v>226</v>
      </c>
      <c r="C46" s="17" t="s">
        <v>227</v>
      </c>
      <c r="D46" s="17" t="s">
        <v>82</v>
      </c>
      <c r="E46" s="17" t="s">
        <v>98</v>
      </c>
      <c r="F46" s="19" t="n">
        <v>7043</v>
      </c>
      <c r="G46" s="19" t="n">
        <v>2</v>
      </c>
      <c r="H46" s="19" t="n">
        <v>0</v>
      </c>
      <c r="I46" s="12" t="n">
        <f aca="false">IFERROR(H46/F46,0)</f>
        <v>0</v>
      </c>
      <c r="J46" s="20"/>
      <c r="K46" s="20"/>
      <c r="L46" s="20"/>
      <c r="M46" s="20"/>
      <c r="N46" s="17" t="s">
        <v>228</v>
      </c>
      <c r="O46" s="17" t="s">
        <v>111</v>
      </c>
      <c r="P46" s="17" t="s">
        <v>101</v>
      </c>
      <c r="Q46" s="17" t="s">
        <v>210</v>
      </c>
    </row>
    <row r="47" customFormat="false" ht="15" hidden="false" customHeight="false" outlineLevel="0" collapsed="false">
      <c r="A47" s="17" t="s">
        <v>22</v>
      </c>
      <c r="B47" s="18" t="s">
        <v>229</v>
      </c>
      <c r="C47" s="17" t="s">
        <v>230</v>
      </c>
      <c r="D47" s="17" t="s">
        <v>82</v>
      </c>
      <c r="E47" s="17" t="s">
        <v>98</v>
      </c>
      <c r="F47" s="19" t="n">
        <v>7043</v>
      </c>
      <c r="G47" s="19" t="n">
        <v>2</v>
      </c>
      <c r="H47" s="19" t="n">
        <v>0</v>
      </c>
      <c r="I47" s="12" t="n">
        <f aca="false">IFERROR(H47/F47,0)</f>
        <v>0</v>
      </c>
      <c r="J47" s="20"/>
      <c r="K47" s="20"/>
      <c r="L47" s="20"/>
      <c r="M47" s="20"/>
      <c r="N47" s="17" t="s">
        <v>231</v>
      </c>
      <c r="O47" s="17" t="s">
        <v>111</v>
      </c>
      <c r="P47" s="17" t="s">
        <v>101</v>
      </c>
      <c r="Q47" s="17" t="s">
        <v>210</v>
      </c>
    </row>
    <row r="48" customFormat="false" ht="15" hidden="false" customHeight="false" outlineLevel="0" collapsed="false">
      <c r="A48" s="17" t="s">
        <v>22</v>
      </c>
      <c r="B48" s="18" t="s">
        <v>232</v>
      </c>
      <c r="C48" s="17" t="s">
        <v>233</v>
      </c>
      <c r="D48" s="17" t="s">
        <v>82</v>
      </c>
      <c r="E48" s="17" t="s">
        <v>234</v>
      </c>
      <c r="F48" s="19" t="n">
        <v>7043</v>
      </c>
      <c r="G48" s="19" t="n">
        <v>3</v>
      </c>
      <c r="H48" s="19" t="n">
        <v>0</v>
      </c>
      <c r="I48" s="12" t="n">
        <f aca="false">IFERROR(H48/F48,0)</f>
        <v>0</v>
      </c>
      <c r="J48" s="20"/>
      <c r="K48" s="20"/>
      <c r="L48" s="20"/>
      <c r="M48" s="20"/>
      <c r="N48" s="17" t="s">
        <v>235</v>
      </c>
      <c r="O48" s="17" t="s">
        <v>236</v>
      </c>
      <c r="P48" s="17" t="s">
        <v>101</v>
      </c>
      <c r="Q48" s="17" t="s">
        <v>237</v>
      </c>
    </row>
    <row r="49" customFormat="false" ht="15" hidden="false" customHeight="false" outlineLevel="0" collapsed="false">
      <c r="A49" s="17" t="s">
        <v>22</v>
      </c>
      <c r="B49" s="18" t="s">
        <v>238</v>
      </c>
      <c r="C49" s="17" t="s">
        <v>239</v>
      </c>
      <c r="D49" s="17" t="s">
        <v>82</v>
      </c>
      <c r="E49" s="17" t="s">
        <v>98</v>
      </c>
      <c r="F49" s="19" t="n">
        <v>7043</v>
      </c>
      <c r="G49" s="19" t="n">
        <v>2</v>
      </c>
      <c r="H49" s="19" t="n">
        <v>0</v>
      </c>
      <c r="I49" s="12" t="n">
        <f aca="false">IFERROR(H49/F49,0)</f>
        <v>0</v>
      </c>
      <c r="J49" s="20"/>
      <c r="K49" s="20"/>
      <c r="L49" s="20"/>
      <c r="M49" s="20"/>
      <c r="N49" s="17" t="s">
        <v>240</v>
      </c>
      <c r="O49" s="17" t="s">
        <v>117</v>
      </c>
      <c r="P49" s="17" t="s">
        <v>101</v>
      </c>
      <c r="Q49" s="17" t="s">
        <v>210</v>
      </c>
    </row>
    <row r="50" customFormat="false" ht="23.85" hidden="false" customHeight="false" outlineLevel="0" collapsed="false">
      <c r="A50" s="17" t="s">
        <v>22</v>
      </c>
      <c r="B50" s="18" t="s">
        <v>241</v>
      </c>
      <c r="C50" s="17" t="s">
        <v>242</v>
      </c>
      <c r="D50" s="17" t="s">
        <v>82</v>
      </c>
      <c r="E50" s="17" t="s">
        <v>180</v>
      </c>
      <c r="F50" s="19" t="n">
        <v>7043</v>
      </c>
      <c r="G50" s="19" t="n">
        <v>3</v>
      </c>
      <c r="H50" s="19" t="n">
        <v>0</v>
      </c>
      <c r="I50" s="12" t="n">
        <f aca="false">IFERROR(H50/F50,0)</f>
        <v>0</v>
      </c>
      <c r="J50" s="20"/>
      <c r="K50" s="20"/>
      <c r="L50" s="20"/>
      <c r="M50" s="20"/>
      <c r="N50" s="17" t="s">
        <v>243</v>
      </c>
      <c r="O50" s="17" t="s">
        <v>244</v>
      </c>
      <c r="P50" s="17" t="s">
        <v>101</v>
      </c>
      <c r="Q50" s="17" t="s">
        <v>237</v>
      </c>
    </row>
    <row r="51" customFormat="false" ht="15" hidden="false" customHeight="false" outlineLevel="0" collapsed="false">
      <c r="A51" s="17" t="s">
        <v>22</v>
      </c>
      <c r="B51" s="18" t="s">
        <v>245</v>
      </c>
      <c r="C51" s="17" t="s">
        <v>246</v>
      </c>
      <c r="D51" s="17" t="s">
        <v>155</v>
      </c>
      <c r="E51" s="17" t="s">
        <v>156</v>
      </c>
      <c r="F51" s="19" t="n">
        <v>7043</v>
      </c>
      <c r="G51" s="19" t="n">
        <v>1585</v>
      </c>
      <c r="H51" s="19" t="n">
        <v>0</v>
      </c>
      <c r="I51" s="12" t="n">
        <f aca="false">IFERROR(H51/F51,0)</f>
        <v>0</v>
      </c>
      <c r="J51" s="20" t="n">
        <v>18.25</v>
      </c>
      <c r="K51" s="20" t="n">
        <v>70.35</v>
      </c>
      <c r="L51" s="20" t="n">
        <v>64.7616924605992</v>
      </c>
      <c r="M51" s="20" t="n">
        <v>118.75</v>
      </c>
      <c r="N51" s="17"/>
      <c r="O51" s="17" t="s">
        <v>247</v>
      </c>
      <c r="P51" s="17" t="s">
        <v>101</v>
      </c>
      <c r="Q51" s="17" t="s">
        <v>107</v>
      </c>
    </row>
    <row r="52" customFormat="false" ht="15" hidden="false" customHeight="false" outlineLevel="0" collapsed="false">
      <c r="A52" s="17" t="s">
        <v>22</v>
      </c>
      <c r="B52" s="18" t="s">
        <v>248</v>
      </c>
      <c r="C52" s="17" t="s">
        <v>249</v>
      </c>
      <c r="D52" s="17" t="s">
        <v>155</v>
      </c>
      <c r="E52" s="17" t="s">
        <v>156</v>
      </c>
      <c r="F52" s="19" t="n">
        <v>7043</v>
      </c>
      <c r="G52" s="19" t="n">
        <v>6540</v>
      </c>
      <c r="H52" s="19" t="n">
        <v>0</v>
      </c>
      <c r="I52" s="12" t="n">
        <f aca="false">IFERROR(H52/F52,0)</f>
        <v>0</v>
      </c>
      <c r="J52" s="20" t="n">
        <v>18.8</v>
      </c>
      <c r="K52" s="20" t="n">
        <v>1394.55</v>
      </c>
      <c r="L52" s="20" t="n">
        <v>2280.38126366605</v>
      </c>
      <c r="M52" s="20" t="n">
        <v>8684.8</v>
      </c>
      <c r="N52" s="17"/>
      <c r="O52" s="17" t="s">
        <v>247</v>
      </c>
      <c r="P52" s="17" t="s">
        <v>101</v>
      </c>
      <c r="Q52" s="17" t="s">
        <v>107</v>
      </c>
    </row>
    <row r="53" customFormat="false" ht="15" hidden="false" customHeight="false" outlineLevel="0" collapsed="false">
      <c r="A53" s="17" t="s">
        <v>22</v>
      </c>
      <c r="B53" s="18" t="s">
        <v>250</v>
      </c>
      <c r="C53" s="17" t="s">
        <v>251</v>
      </c>
      <c r="D53" s="17" t="s">
        <v>155</v>
      </c>
      <c r="E53" s="17" t="s">
        <v>156</v>
      </c>
      <c r="F53" s="19" t="n">
        <v>7043</v>
      </c>
      <c r="G53" s="19" t="n">
        <v>500</v>
      </c>
      <c r="H53" s="19" t="n">
        <v>0</v>
      </c>
      <c r="I53" s="12" t="n">
        <f aca="false">IFERROR(H53/F53,0)</f>
        <v>0</v>
      </c>
      <c r="J53" s="20" t="n">
        <v>0</v>
      </c>
      <c r="K53" s="20" t="n">
        <v>0</v>
      </c>
      <c r="L53" s="20" t="n">
        <v>1.96218230867528</v>
      </c>
      <c r="M53" s="20" t="n">
        <v>49.79</v>
      </c>
      <c r="N53" s="17"/>
      <c r="O53" s="17" t="s">
        <v>190</v>
      </c>
      <c r="P53" s="17" t="s">
        <v>101</v>
      </c>
      <c r="Q53" s="17" t="s">
        <v>252</v>
      </c>
    </row>
    <row r="54" customFormat="false" ht="15" hidden="false" customHeight="false" outlineLevel="0" collapsed="false">
      <c r="A54" s="17" t="s">
        <v>22</v>
      </c>
      <c r="B54" s="18" t="s">
        <v>253</v>
      </c>
      <c r="C54" s="17" t="s">
        <v>254</v>
      </c>
      <c r="D54" s="17" t="s">
        <v>90</v>
      </c>
      <c r="E54" s="17" t="s">
        <v>105</v>
      </c>
      <c r="F54" s="19" t="n">
        <v>7043</v>
      </c>
      <c r="G54" s="19" t="n">
        <v>16</v>
      </c>
      <c r="H54" s="19" t="n">
        <v>0</v>
      </c>
      <c r="I54" s="12" t="n">
        <f aca="false">IFERROR(H54/F54,0)</f>
        <v>0</v>
      </c>
      <c r="J54" s="20" t="n">
        <v>0</v>
      </c>
      <c r="K54" s="20" t="n">
        <v>0</v>
      </c>
      <c r="L54" s="20" t="n">
        <v>6.86071276444697</v>
      </c>
      <c r="M54" s="20" t="n">
        <v>150</v>
      </c>
      <c r="N54" s="17"/>
      <c r="O54" s="17" t="s">
        <v>255</v>
      </c>
      <c r="P54" s="17" t="s">
        <v>101</v>
      </c>
      <c r="Q54" s="17" t="s">
        <v>107</v>
      </c>
    </row>
    <row r="55" customFormat="false" ht="15" hidden="false" customHeight="false" outlineLevel="0" collapsed="false">
      <c r="A55" s="17" t="s">
        <v>22</v>
      </c>
      <c r="B55" s="18" t="s">
        <v>256</v>
      </c>
      <c r="C55" s="17" t="s">
        <v>257</v>
      </c>
      <c r="D55" s="17" t="s">
        <v>155</v>
      </c>
      <c r="E55" s="17" t="s">
        <v>156</v>
      </c>
      <c r="F55" s="19" t="n">
        <v>7043</v>
      </c>
      <c r="G55" s="19" t="n">
        <v>6110</v>
      </c>
      <c r="H55" s="19" t="n">
        <v>0</v>
      </c>
      <c r="I55" s="12" t="n">
        <f aca="false">IFERROR(H55/F55,0)</f>
        <v>0</v>
      </c>
      <c r="J55" s="20" t="n">
        <v>0</v>
      </c>
      <c r="K55" s="20" t="n">
        <v>401.44</v>
      </c>
      <c r="L55" s="20" t="n">
        <v>749.099261678262</v>
      </c>
      <c r="M55" s="20" t="n">
        <v>3564.72</v>
      </c>
      <c r="N55" s="17"/>
      <c r="O55" s="17" t="s">
        <v>190</v>
      </c>
      <c r="P55" s="17" t="s">
        <v>101</v>
      </c>
      <c r="Q55" s="17" t="s">
        <v>107</v>
      </c>
    </row>
    <row r="56" customFormat="false" ht="23.85" hidden="false" customHeight="false" outlineLevel="0" collapsed="false">
      <c r="A56" s="17" t="s">
        <v>22</v>
      </c>
      <c r="B56" s="18" t="s">
        <v>258</v>
      </c>
      <c r="C56" s="17" t="s">
        <v>259</v>
      </c>
      <c r="D56" s="17" t="s">
        <v>155</v>
      </c>
      <c r="E56" s="17" t="s">
        <v>156</v>
      </c>
      <c r="F56" s="19" t="n">
        <v>7043</v>
      </c>
      <c r="G56" s="19" t="n">
        <v>6996</v>
      </c>
      <c r="H56" s="19" t="n">
        <v>0</v>
      </c>
      <c r="I56" s="12" t="n">
        <f aca="false">IFERROR(H56/F56,0)</f>
        <v>0</v>
      </c>
      <c r="J56" s="20" t="n">
        <v>21.36</v>
      </c>
      <c r="K56" s="20" t="n">
        <v>2108.64</v>
      </c>
      <c r="L56" s="20" t="n">
        <v>3034.37905580009</v>
      </c>
      <c r="M56" s="20" t="n">
        <v>11979.34</v>
      </c>
      <c r="N56" s="17"/>
      <c r="O56" s="17" t="s">
        <v>260</v>
      </c>
      <c r="P56" s="17" t="s">
        <v>112</v>
      </c>
      <c r="Q56" s="17" t="s">
        <v>261</v>
      </c>
    </row>
    <row r="57" customFormat="false" ht="23.85" hidden="false" customHeight="false" outlineLevel="0" collapsed="false">
      <c r="A57" s="17" t="s">
        <v>24</v>
      </c>
      <c r="B57" s="18" t="s">
        <v>15</v>
      </c>
      <c r="C57" s="17" t="s">
        <v>81</v>
      </c>
      <c r="D57" s="17" t="s">
        <v>82</v>
      </c>
      <c r="E57" s="17" t="s">
        <v>83</v>
      </c>
      <c r="F57" s="19" t="n">
        <v>7043</v>
      </c>
      <c r="G57" s="19" t="n">
        <v>7043</v>
      </c>
      <c r="H57" s="19" t="n">
        <v>0</v>
      </c>
      <c r="I57" s="12" t="n">
        <f aca="false">IFERROR(H57/F57,0)</f>
        <v>0</v>
      </c>
      <c r="J57" s="20"/>
      <c r="K57" s="20"/>
      <c r="L57" s="20"/>
      <c r="M57" s="20"/>
      <c r="N57" s="17" t="s">
        <v>84</v>
      </c>
      <c r="O57" s="17" t="s">
        <v>85</v>
      </c>
      <c r="P57" s="17" t="s">
        <v>86</v>
      </c>
      <c r="Q57" s="17" t="s">
        <v>87</v>
      </c>
    </row>
    <row r="58" customFormat="false" ht="23.85" hidden="false" customHeight="false" outlineLevel="0" collapsed="false">
      <c r="A58" s="17" t="s">
        <v>24</v>
      </c>
      <c r="B58" s="18" t="s">
        <v>88</v>
      </c>
      <c r="C58" s="17" t="s">
        <v>89</v>
      </c>
      <c r="D58" s="17" t="s">
        <v>90</v>
      </c>
      <c r="E58" s="17" t="s">
        <v>91</v>
      </c>
      <c r="F58" s="19" t="n">
        <v>7043</v>
      </c>
      <c r="G58" s="19" t="n">
        <v>1</v>
      </c>
      <c r="H58" s="19" t="n">
        <v>0</v>
      </c>
      <c r="I58" s="12" t="n">
        <f aca="false">IFERROR(H58/F58,0)</f>
        <v>0</v>
      </c>
      <c r="J58" s="20"/>
      <c r="K58" s="20"/>
      <c r="L58" s="20"/>
      <c r="M58" s="20"/>
      <c r="N58" s="17" t="s">
        <v>92</v>
      </c>
      <c r="O58" s="17" t="s">
        <v>93</v>
      </c>
      <c r="P58" s="17" t="s">
        <v>94</v>
      </c>
      <c r="Q58" s="17" t="s">
        <v>95</v>
      </c>
    </row>
    <row r="59" customFormat="false" ht="15" hidden="false" customHeight="false" outlineLevel="0" collapsed="false">
      <c r="A59" s="17" t="s">
        <v>24</v>
      </c>
      <c r="B59" s="18" t="s">
        <v>167</v>
      </c>
      <c r="C59" s="17" t="s">
        <v>168</v>
      </c>
      <c r="D59" s="17" t="s">
        <v>82</v>
      </c>
      <c r="E59" s="17" t="s">
        <v>91</v>
      </c>
      <c r="F59" s="19" t="n">
        <v>7043</v>
      </c>
      <c r="G59" s="19" t="n">
        <v>1</v>
      </c>
      <c r="H59" s="19" t="n">
        <v>0</v>
      </c>
      <c r="I59" s="12" t="n">
        <f aca="false">IFERROR(H59/F59,0)</f>
        <v>0</v>
      </c>
      <c r="J59" s="20"/>
      <c r="K59" s="20"/>
      <c r="L59" s="20"/>
      <c r="M59" s="20"/>
      <c r="N59" s="17" t="s">
        <v>169</v>
      </c>
      <c r="O59" s="17" t="s">
        <v>170</v>
      </c>
      <c r="P59" s="17" t="s">
        <v>94</v>
      </c>
      <c r="Q59" s="17" t="s">
        <v>95</v>
      </c>
    </row>
    <row r="60" customFormat="false" ht="15" hidden="false" customHeight="false" outlineLevel="0" collapsed="false">
      <c r="A60" s="17" t="s">
        <v>24</v>
      </c>
      <c r="B60" s="18" t="s">
        <v>262</v>
      </c>
      <c r="C60" s="17" t="s">
        <v>263</v>
      </c>
      <c r="D60" s="17" t="s">
        <v>90</v>
      </c>
      <c r="E60" s="17" t="s">
        <v>234</v>
      </c>
      <c r="F60" s="19" t="n">
        <v>7043</v>
      </c>
      <c r="G60" s="19" t="n">
        <v>5</v>
      </c>
      <c r="H60" s="19" t="n">
        <v>0</v>
      </c>
      <c r="I60" s="12" t="n">
        <f aca="false">IFERROR(H60/F60,0)</f>
        <v>0</v>
      </c>
      <c r="J60" s="20" t="n">
        <v>1</v>
      </c>
      <c r="K60" s="20" t="n">
        <v>3</v>
      </c>
      <c r="L60" s="20" t="n">
        <v>3.24492403805197</v>
      </c>
      <c r="M60" s="20" t="n">
        <v>5</v>
      </c>
      <c r="N60" s="17"/>
      <c r="O60" s="17" t="s">
        <v>264</v>
      </c>
      <c r="P60" s="17" t="s">
        <v>265</v>
      </c>
      <c r="Q60" s="17" t="s">
        <v>266</v>
      </c>
    </row>
    <row r="61" customFormat="false" ht="15" hidden="false" customHeight="false" outlineLevel="0" collapsed="false">
      <c r="A61" s="17" t="s">
        <v>24</v>
      </c>
      <c r="B61" s="18" t="s">
        <v>267</v>
      </c>
      <c r="C61" s="17" t="s">
        <v>268</v>
      </c>
      <c r="D61" s="17" t="s">
        <v>82</v>
      </c>
      <c r="E61" s="17" t="s">
        <v>180</v>
      </c>
      <c r="F61" s="19" t="n">
        <v>7043</v>
      </c>
      <c r="G61" s="19" t="n">
        <v>3</v>
      </c>
      <c r="H61" s="19" t="n">
        <v>0</v>
      </c>
      <c r="I61" s="12" t="n">
        <f aca="false">IFERROR(H61/F61,0)</f>
        <v>0</v>
      </c>
      <c r="J61" s="20"/>
      <c r="K61" s="20"/>
      <c r="L61" s="20"/>
      <c r="M61" s="20"/>
      <c r="N61" s="17" t="s">
        <v>269</v>
      </c>
      <c r="O61" s="17" t="s">
        <v>35</v>
      </c>
      <c r="P61" s="17" t="s">
        <v>270</v>
      </c>
      <c r="Q61" s="17" t="s">
        <v>271</v>
      </c>
    </row>
    <row r="62" customFormat="false" ht="15" hidden="false" customHeight="false" outlineLevel="0" collapsed="false">
      <c r="A62" s="17" t="s">
        <v>24</v>
      </c>
      <c r="B62" s="18" t="s">
        <v>272</v>
      </c>
      <c r="C62" s="17" t="s">
        <v>273</v>
      </c>
      <c r="D62" s="17" t="s">
        <v>82</v>
      </c>
      <c r="E62" s="17" t="s">
        <v>98</v>
      </c>
      <c r="F62" s="19" t="n">
        <v>7043</v>
      </c>
      <c r="G62" s="19" t="n">
        <v>2</v>
      </c>
      <c r="H62" s="19" t="n">
        <v>0</v>
      </c>
      <c r="I62" s="12" t="n">
        <f aca="false">IFERROR(H62/F62,0)</f>
        <v>0</v>
      </c>
      <c r="J62" s="20"/>
      <c r="K62" s="20"/>
      <c r="L62" s="20"/>
      <c r="M62" s="20"/>
      <c r="N62" s="17" t="s">
        <v>274</v>
      </c>
      <c r="O62" s="17" t="s">
        <v>117</v>
      </c>
      <c r="P62" s="17" t="s">
        <v>275</v>
      </c>
      <c r="Q62" s="17" t="s">
        <v>276</v>
      </c>
    </row>
    <row r="63" customFormat="false" ht="15" hidden="false" customHeight="false" outlineLevel="0" collapsed="false">
      <c r="A63" s="17" t="s">
        <v>24</v>
      </c>
      <c r="B63" s="18" t="s">
        <v>277</v>
      </c>
      <c r="C63" s="17" t="s">
        <v>278</v>
      </c>
      <c r="D63" s="17" t="s">
        <v>90</v>
      </c>
      <c r="E63" s="17" t="s">
        <v>98</v>
      </c>
      <c r="F63" s="19" t="n">
        <v>7043</v>
      </c>
      <c r="G63" s="19" t="n">
        <v>2</v>
      </c>
      <c r="H63" s="19" t="n">
        <v>0</v>
      </c>
      <c r="I63" s="12" t="n">
        <f aca="false">IFERROR(H63/F63,0)</f>
        <v>0</v>
      </c>
      <c r="J63" s="20" t="n">
        <v>0</v>
      </c>
      <c r="K63" s="20" t="n">
        <v>0</v>
      </c>
      <c r="L63" s="20" t="n">
        <v>0.265369870793696</v>
      </c>
      <c r="M63" s="20" t="n">
        <v>1</v>
      </c>
      <c r="N63" s="17"/>
      <c r="O63" s="17" t="s">
        <v>93</v>
      </c>
      <c r="P63" s="17" t="s">
        <v>275</v>
      </c>
      <c r="Q63" s="17" t="s">
        <v>276</v>
      </c>
    </row>
    <row r="64" customFormat="false" ht="15" hidden="false" customHeight="false" outlineLevel="0" collapsed="false">
      <c r="A64" s="17" t="s">
        <v>24</v>
      </c>
      <c r="B64" s="18" t="s">
        <v>279</v>
      </c>
      <c r="C64" s="17" t="s">
        <v>280</v>
      </c>
      <c r="D64" s="17" t="s">
        <v>90</v>
      </c>
      <c r="E64" s="17" t="s">
        <v>105</v>
      </c>
      <c r="F64" s="19" t="n">
        <v>7043</v>
      </c>
      <c r="G64" s="19" t="n">
        <v>81</v>
      </c>
      <c r="H64" s="19" t="n">
        <v>0</v>
      </c>
      <c r="I64" s="12" t="n">
        <f aca="false">IFERROR(H64/F64,0)</f>
        <v>0</v>
      </c>
      <c r="J64" s="20" t="n">
        <v>5</v>
      </c>
      <c r="K64" s="20" t="n">
        <v>61</v>
      </c>
      <c r="L64" s="20" t="n">
        <v>58.5050404657106</v>
      </c>
      <c r="M64" s="20" t="n">
        <v>96</v>
      </c>
      <c r="N64" s="17"/>
      <c r="O64" s="17" t="s">
        <v>281</v>
      </c>
      <c r="P64" s="17" t="s">
        <v>282</v>
      </c>
      <c r="Q64" s="17" t="s">
        <v>266</v>
      </c>
    </row>
    <row r="65" customFormat="false" ht="15" hidden="false" customHeight="false" outlineLevel="0" collapsed="false">
      <c r="A65" s="17" t="s">
        <v>24</v>
      </c>
      <c r="B65" s="18" t="s">
        <v>283</v>
      </c>
      <c r="C65" s="17" t="s">
        <v>284</v>
      </c>
      <c r="D65" s="17" t="s">
        <v>90</v>
      </c>
      <c r="E65" s="17" t="s">
        <v>105</v>
      </c>
      <c r="F65" s="19" t="n">
        <v>7043</v>
      </c>
      <c r="G65" s="19" t="n">
        <v>3438</v>
      </c>
      <c r="H65" s="19" t="n">
        <v>0</v>
      </c>
      <c r="I65" s="12" t="n">
        <f aca="false">IFERROR(H65/F65,0)</f>
        <v>0</v>
      </c>
      <c r="J65" s="20" t="n">
        <v>2003</v>
      </c>
      <c r="K65" s="20" t="n">
        <v>4527</v>
      </c>
      <c r="L65" s="20" t="n">
        <v>4400.29575465001</v>
      </c>
      <c r="M65" s="20" t="n">
        <v>6500</v>
      </c>
      <c r="N65" s="17"/>
      <c r="O65" s="17" t="s">
        <v>285</v>
      </c>
      <c r="P65" s="17" t="s">
        <v>286</v>
      </c>
      <c r="Q65" s="17" t="s">
        <v>266</v>
      </c>
    </row>
    <row r="66" customFormat="false" ht="23.85" hidden="false" customHeight="false" outlineLevel="0" collapsed="false">
      <c r="A66" s="17" t="s">
        <v>24</v>
      </c>
      <c r="B66" s="18" t="s">
        <v>287</v>
      </c>
      <c r="C66" s="17" t="s">
        <v>288</v>
      </c>
      <c r="D66" s="17" t="s">
        <v>82</v>
      </c>
      <c r="E66" s="17" t="s">
        <v>180</v>
      </c>
      <c r="F66" s="19" t="n">
        <v>7043</v>
      </c>
      <c r="G66" s="19" t="n">
        <v>6</v>
      </c>
      <c r="H66" s="19" t="n">
        <v>5174</v>
      </c>
      <c r="I66" s="12" t="n">
        <f aca="false">IFERROR(H66/F66,0)</f>
        <v>0.734630129206304</v>
      </c>
      <c r="J66" s="20"/>
      <c r="K66" s="20"/>
      <c r="L66" s="20"/>
      <c r="M66" s="20"/>
      <c r="N66" s="17" t="s">
        <v>289</v>
      </c>
      <c r="O66" s="17" t="s">
        <v>290</v>
      </c>
      <c r="P66" s="17" t="s">
        <v>275</v>
      </c>
      <c r="Q66" s="17" t="s">
        <v>291</v>
      </c>
    </row>
    <row r="67" customFormat="false" ht="35.05" hidden="false" customHeight="false" outlineLevel="0" collapsed="false">
      <c r="A67" s="17" t="s">
        <v>24</v>
      </c>
      <c r="B67" s="18" t="s">
        <v>292</v>
      </c>
      <c r="C67" s="17" t="s">
        <v>293</v>
      </c>
      <c r="D67" s="17" t="s">
        <v>82</v>
      </c>
      <c r="E67" s="17" t="s">
        <v>140</v>
      </c>
      <c r="F67" s="19" t="n">
        <v>7043</v>
      </c>
      <c r="G67" s="19" t="n">
        <v>21</v>
      </c>
      <c r="H67" s="19" t="n">
        <v>5174</v>
      </c>
      <c r="I67" s="12" t="n">
        <f aca="false">IFERROR(H67/F67,0)</f>
        <v>0.734630129206304</v>
      </c>
      <c r="J67" s="20"/>
      <c r="K67" s="20"/>
      <c r="L67" s="20"/>
      <c r="M67" s="20"/>
      <c r="N67" s="17" t="s">
        <v>294</v>
      </c>
      <c r="O67" s="17" t="s">
        <v>295</v>
      </c>
      <c r="P67" s="17" t="s">
        <v>275</v>
      </c>
      <c r="Q67" s="17" t="s">
        <v>291</v>
      </c>
    </row>
    <row r="69" customFormat="false" ht="15" hidden="false" customHeight="false" outlineLevel="0" collapsed="false">
      <c r="A69" s="10" t="s">
        <v>296</v>
      </c>
    </row>
  </sheetData>
  <conditionalFormatting sqref="P6:P67">
    <cfRule type="expression" priority="2" aboveAverage="0" equalAverage="0" bottom="0" percent="0" rank="0" text="" dxfId="7">
      <formula>ISNUMBER(SEARCH("Leakage",$P6))</formula>
    </cfRule>
    <cfRule type="expression" priority="3" aboveAverage="0" equalAverage="0" bottom="0" percent="0" rank="0" text="" dxfId="8">
      <formula>ISNUMBER(SEARCH("Redundante",$P6))</formula>
    </cfRule>
    <cfRule type="expression" priority="4" aboveAverage="0" equalAverage="0" bottom="0" percent="0" rank="0" text="" dxfId="8">
      <formula>ISNUMBER(SEARCH("Reporting",$P6))</formula>
    </cfRule>
    <cfRule type="expression" priority="5" aboveAverage="0" equalAverage="0" bottom="0" percent="0" rank="0" text="" dxfId="9">
      <formula>ISNUMBER(SEARCH("Feature",$P6))</formula>
    </cfRule>
    <cfRule type="expression" priority="6" aboveAverage="0" equalAverage="0" bottom="0" percent="0" rank="0" text="" dxfId="10">
      <formula>ISNUMBER(SEARCH("Benchmark",$P6))</formula>
    </cfRule>
    <cfRule type="expression" priority="7" aboveAverage="0" equalAverage="0" bottom="0" percent="0" rank="0" text="" dxfId="10">
      <formula>ISNUMBER(SEARCH("Priorização",$P6))</formula>
    </cfRule>
    <cfRule type="expression" priority="8" aboveAverage="0" equalAverage="0" bottom="0" percent="0" rank="0" text="" dxfId="11">
      <formula>ISNUMBER(SEARCH("Suspeita",$P6))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77FF"/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48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46"/>
  </cols>
  <sheetData>
    <row r="1" customFormat="false" ht="25.5" hidden="false" customHeight="tru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3" customFormat="false" ht="3.75" hidden="false" customHeight="true" outlineLevel="0" collapsed="false">
      <c r="A3" s="3"/>
      <c r="B3" s="3"/>
      <c r="C3" s="3"/>
    </row>
    <row r="5" customFormat="false" ht="31.5" hidden="false" customHeight="true" outlineLevel="0" collapsed="false">
      <c r="A5" s="4" t="s">
        <v>299</v>
      </c>
      <c r="B5" s="4" t="s">
        <v>66</v>
      </c>
      <c r="C5" s="4" t="s">
        <v>2</v>
      </c>
      <c r="D5" s="4" t="s">
        <v>300</v>
      </c>
      <c r="E5" s="4" t="s">
        <v>301</v>
      </c>
      <c r="F5" s="4" t="s">
        <v>302</v>
      </c>
      <c r="G5" s="4" t="s">
        <v>303</v>
      </c>
      <c r="H5" s="4" t="s">
        <v>304</v>
      </c>
      <c r="I5" s="4" t="s">
        <v>305</v>
      </c>
      <c r="J5" s="4" t="s">
        <v>306</v>
      </c>
    </row>
    <row r="6" customFormat="false" ht="23.85" hidden="false" customHeight="false" outlineLevel="0" collapsed="false">
      <c r="A6" s="17" t="n">
        <v>1</v>
      </c>
      <c r="B6" s="18" t="s">
        <v>15</v>
      </c>
      <c r="C6" s="17" t="s">
        <v>307</v>
      </c>
      <c r="D6" s="17" t="s">
        <v>308</v>
      </c>
      <c r="E6" s="17" t="s">
        <v>82</v>
      </c>
      <c r="F6" s="17" t="s">
        <v>309</v>
      </c>
      <c r="G6" s="17" t="s">
        <v>310</v>
      </c>
      <c r="H6" s="17" t="s">
        <v>311</v>
      </c>
      <c r="I6" s="17" t="s">
        <v>312</v>
      </c>
      <c r="J6" s="17" t="s">
        <v>313</v>
      </c>
    </row>
    <row r="7" customFormat="false" ht="15" hidden="false" customHeight="false" outlineLevel="0" collapsed="false">
      <c r="A7" s="17" t="n">
        <v>2</v>
      </c>
      <c r="B7" s="18" t="s">
        <v>283</v>
      </c>
      <c r="C7" s="17" t="s">
        <v>24</v>
      </c>
      <c r="D7" s="17" t="s">
        <v>314</v>
      </c>
      <c r="E7" s="17" t="s">
        <v>315</v>
      </c>
      <c r="F7" s="17" t="s">
        <v>316</v>
      </c>
      <c r="G7" s="17" t="s">
        <v>317</v>
      </c>
      <c r="H7" s="17" t="s">
        <v>266</v>
      </c>
      <c r="I7" s="17" t="s">
        <v>312</v>
      </c>
      <c r="J7" s="17" t="s">
        <v>318</v>
      </c>
    </row>
    <row r="8" customFormat="false" ht="23.85" hidden="false" customHeight="false" outlineLevel="0" collapsed="false">
      <c r="A8" s="17" t="n">
        <v>3</v>
      </c>
      <c r="B8" s="18" t="s">
        <v>279</v>
      </c>
      <c r="C8" s="17" t="s">
        <v>24</v>
      </c>
      <c r="D8" s="17" t="s">
        <v>314</v>
      </c>
      <c r="E8" s="17" t="s">
        <v>315</v>
      </c>
      <c r="F8" s="17" t="s">
        <v>319</v>
      </c>
      <c r="G8" s="17" t="s">
        <v>320</v>
      </c>
      <c r="H8" s="17" t="s">
        <v>266</v>
      </c>
      <c r="I8" s="17" t="s">
        <v>312</v>
      </c>
      <c r="J8" s="17" t="s">
        <v>321</v>
      </c>
    </row>
    <row r="9" customFormat="false" ht="23.85" hidden="false" customHeight="false" outlineLevel="0" collapsed="false">
      <c r="A9" s="17" t="n">
        <v>4</v>
      </c>
      <c r="B9" s="18" t="s">
        <v>262</v>
      </c>
      <c r="C9" s="17" t="s">
        <v>24</v>
      </c>
      <c r="D9" s="17" t="s">
        <v>314</v>
      </c>
      <c r="E9" s="17" t="s">
        <v>315</v>
      </c>
      <c r="F9" s="17" t="s">
        <v>322</v>
      </c>
      <c r="G9" s="17" t="s">
        <v>323</v>
      </c>
      <c r="H9" s="17" t="s">
        <v>266</v>
      </c>
      <c r="I9" s="17" t="s">
        <v>312</v>
      </c>
      <c r="J9" s="17" t="s">
        <v>324</v>
      </c>
    </row>
    <row r="10" customFormat="false" ht="23.85" hidden="false" customHeight="false" outlineLevel="0" collapsed="false">
      <c r="A10" s="17" t="n">
        <v>5</v>
      </c>
      <c r="B10" s="18" t="s">
        <v>103</v>
      </c>
      <c r="C10" s="17" t="s">
        <v>12</v>
      </c>
      <c r="D10" s="17" t="s">
        <v>325</v>
      </c>
      <c r="E10" s="17" t="s">
        <v>315</v>
      </c>
      <c r="F10" s="17" t="s">
        <v>326</v>
      </c>
      <c r="G10" s="17" t="s">
        <v>327</v>
      </c>
      <c r="H10" s="17" t="s">
        <v>328</v>
      </c>
      <c r="I10" s="17" t="s">
        <v>103</v>
      </c>
      <c r="J10" s="17" t="s">
        <v>329</v>
      </c>
    </row>
    <row r="11" customFormat="false" ht="23.85" hidden="false" customHeight="false" outlineLevel="0" collapsed="false">
      <c r="A11" s="17" t="n">
        <v>6</v>
      </c>
      <c r="B11" s="18" t="s">
        <v>126</v>
      </c>
      <c r="C11" s="17" t="s">
        <v>12</v>
      </c>
      <c r="D11" s="17" t="s">
        <v>325</v>
      </c>
      <c r="E11" s="17" t="s">
        <v>315</v>
      </c>
      <c r="F11" s="17" t="s">
        <v>127</v>
      </c>
      <c r="G11" s="17" t="s">
        <v>330</v>
      </c>
      <c r="H11" s="17" t="s">
        <v>328</v>
      </c>
      <c r="I11" s="17" t="s">
        <v>126</v>
      </c>
      <c r="J11" s="17" t="s">
        <v>331</v>
      </c>
    </row>
    <row r="12" customFormat="false" ht="23.85" hidden="false" customHeight="false" outlineLevel="0" collapsed="false">
      <c r="A12" s="17" t="n">
        <v>7</v>
      </c>
      <c r="B12" s="18" t="s">
        <v>153</v>
      </c>
      <c r="C12" s="17" t="s">
        <v>16</v>
      </c>
      <c r="D12" s="17" t="s">
        <v>325</v>
      </c>
      <c r="E12" s="17" t="s">
        <v>332</v>
      </c>
      <c r="F12" s="17" t="s">
        <v>154</v>
      </c>
      <c r="G12" s="17" t="s">
        <v>333</v>
      </c>
      <c r="H12" s="17" t="s">
        <v>328</v>
      </c>
      <c r="I12" s="17" t="s">
        <v>153</v>
      </c>
      <c r="J12" s="17" t="s">
        <v>334</v>
      </c>
    </row>
    <row r="13" customFormat="false" ht="23.85" hidden="false" customHeight="false" outlineLevel="0" collapsed="false">
      <c r="A13" s="17" t="n">
        <v>8</v>
      </c>
      <c r="B13" s="18" t="s">
        <v>158</v>
      </c>
      <c r="C13" s="17" t="s">
        <v>16</v>
      </c>
      <c r="D13" s="17" t="s">
        <v>325</v>
      </c>
      <c r="E13" s="17" t="s">
        <v>332</v>
      </c>
      <c r="F13" s="17" t="s">
        <v>159</v>
      </c>
      <c r="G13" s="17" t="s">
        <v>335</v>
      </c>
      <c r="H13" s="17" t="s">
        <v>328</v>
      </c>
      <c r="I13" s="17" t="s">
        <v>158</v>
      </c>
      <c r="J13" s="17" t="s">
        <v>336</v>
      </c>
    </row>
    <row r="14" customFormat="false" ht="23.85" hidden="false" customHeight="false" outlineLevel="0" collapsed="false">
      <c r="A14" s="17" t="n">
        <v>9</v>
      </c>
      <c r="B14" s="18" t="s">
        <v>18</v>
      </c>
      <c r="C14" s="17" t="s">
        <v>18</v>
      </c>
      <c r="D14" s="17" t="s">
        <v>325</v>
      </c>
      <c r="E14" s="17" t="s">
        <v>315</v>
      </c>
      <c r="F14" s="17" t="s">
        <v>337</v>
      </c>
      <c r="G14" s="17" t="s">
        <v>338</v>
      </c>
      <c r="H14" s="17" t="s">
        <v>328</v>
      </c>
      <c r="I14" s="17" t="s">
        <v>18</v>
      </c>
      <c r="J14" s="17" t="s">
        <v>339</v>
      </c>
    </row>
    <row r="15" customFormat="false" ht="23.85" hidden="false" customHeight="false" outlineLevel="0" collapsed="false">
      <c r="A15" s="17" t="n">
        <v>10</v>
      </c>
      <c r="B15" s="18" t="s">
        <v>174</v>
      </c>
      <c r="C15" s="17" t="s">
        <v>22</v>
      </c>
      <c r="D15" s="17" t="s">
        <v>325</v>
      </c>
      <c r="E15" s="17" t="s">
        <v>315</v>
      </c>
      <c r="F15" s="17" t="s">
        <v>340</v>
      </c>
      <c r="G15" s="17" t="s">
        <v>341</v>
      </c>
      <c r="H15" s="17" t="s">
        <v>328</v>
      </c>
      <c r="I15" s="17" t="s">
        <v>174</v>
      </c>
      <c r="J15" s="17" t="s">
        <v>342</v>
      </c>
    </row>
    <row r="16" customFormat="false" ht="23.85" hidden="false" customHeight="false" outlineLevel="0" collapsed="false">
      <c r="A16" s="17" t="n">
        <v>11</v>
      </c>
      <c r="B16" s="18" t="s">
        <v>176</v>
      </c>
      <c r="C16" s="17" t="s">
        <v>22</v>
      </c>
      <c r="D16" s="17" t="s">
        <v>325</v>
      </c>
      <c r="E16" s="17" t="s">
        <v>315</v>
      </c>
      <c r="F16" s="17" t="s">
        <v>177</v>
      </c>
      <c r="G16" s="17" t="s">
        <v>343</v>
      </c>
      <c r="H16" s="17" t="s">
        <v>328</v>
      </c>
      <c r="I16" s="17" t="s">
        <v>176</v>
      </c>
      <c r="J16" s="17" t="s">
        <v>344</v>
      </c>
    </row>
    <row r="17" customFormat="false" ht="23.85" hidden="false" customHeight="false" outlineLevel="0" collapsed="false">
      <c r="A17" s="17" t="n">
        <v>12</v>
      </c>
      <c r="B17" s="18" t="s">
        <v>188</v>
      </c>
      <c r="C17" s="17" t="s">
        <v>22</v>
      </c>
      <c r="D17" s="17" t="s">
        <v>325</v>
      </c>
      <c r="E17" s="17" t="s">
        <v>332</v>
      </c>
      <c r="F17" s="17" t="s">
        <v>345</v>
      </c>
      <c r="G17" s="17" t="s">
        <v>346</v>
      </c>
      <c r="H17" s="17" t="s">
        <v>328</v>
      </c>
      <c r="I17" s="17" t="s">
        <v>188</v>
      </c>
      <c r="J17" s="17" t="s">
        <v>347</v>
      </c>
    </row>
    <row r="18" customFormat="false" ht="23.85" hidden="false" customHeight="false" outlineLevel="0" collapsed="false">
      <c r="A18" s="17" t="n">
        <v>13</v>
      </c>
      <c r="B18" s="18" t="s">
        <v>204</v>
      </c>
      <c r="C18" s="17" t="s">
        <v>22</v>
      </c>
      <c r="D18" s="17" t="s">
        <v>325</v>
      </c>
      <c r="E18" s="17" t="s">
        <v>315</v>
      </c>
      <c r="F18" s="17" t="s">
        <v>205</v>
      </c>
      <c r="G18" s="17" t="s">
        <v>348</v>
      </c>
      <c r="H18" s="17" t="s">
        <v>328</v>
      </c>
      <c r="I18" s="17" t="s">
        <v>204</v>
      </c>
      <c r="J18" s="17" t="s">
        <v>349</v>
      </c>
    </row>
    <row r="19" customFormat="false" ht="23.85" hidden="false" customHeight="false" outlineLevel="0" collapsed="false">
      <c r="A19" s="17" t="n">
        <v>14</v>
      </c>
      <c r="B19" s="18" t="s">
        <v>245</v>
      </c>
      <c r="C19" s="17" t="s">
        <v>22</v>
      </c>
      <c r="D19" s="17" t="s">
        <v>325</v>
      </c>
      <c r="E19" s="17" t="s">
        <v>332</v>
      </c>
      <c r="F19" s="17" t="s">
        <v>246</v>
      </c>
      <c r="G19" s="17" t="s">
        <v>350</v>
      </c>
      <c r="H19" s="17" t="s">
        <v>328</v>
      </c>
      <c r="I19" s="17" t="s">
        <v>245</v>
      </c>
      <c r="J19" s="17"/>
    </row>
    <row r="20" customFormat="false" ht="23.85" hidden="false" customHeight="false" outlineLevel="0" collapsed="false">
      <c r="A20" s="17" t="n">
        <v>15</v>
      </c>
      <c r="B20" s="18" t="s">
        <v>248</v>
      </c>
      <c r="C20" s="17" t="s">
        <v>22</v>
      </c>
      <c r="D20" s="17" t="s">
        <v>325</v>
      </c>
      <c r="E20" s="17" t="s">
        <v>332</v>
      </c>
      <c r="F20" s="17" t="s">
        <v>249</v>
      </c>
      <c r="G20" s="17" t="s">
        <v>351</v>
      </c>
      <c r="H20" s="17" t="s">
        <v>328</v>
      </c>
      <c r="I20" s="17" t="s">
        <v>248</v>
      </c>
      <c r="J20" s="17" t="s">
        <v>352</v>
      </c>
    </row>
    <row r="21" customFormat="false" ht="23.85" hidden="false" customHeight="false" outlineLevel="0" collapsed="false">
      <c r="A21" s="17" t="n">
        <v>16</v>
      </c>
      <c r="B21" s="18" t="s">
        <v>250</v>
      </c>
      <c r="C21" s="17" t="s">
        <v>22</v>
      </c>
      <c r="D21" s="17" t="s">
        <v>325</v>
      </c>
      <c r="E21" s="17" t="s">
        <v>332</v>
      </c>
      <c r="F21" s="17" t="s">
        <v>251</v>
      </c>
      <c r="G21" s="17" t="s">
        <v>353</v>
      </c>
      <c r="H21" s="17" t="s">
        <v>328</v>
      </c>
      <c r="I21" s="17" t="s">
        <v>250</v>
      </c>
      <c r="J21" s="17" t="s">
        <v>354</v>
      </c>
    </row>
    <row r="22" customFormat="false" ht="23.85" hidden="false" customHeight="false" outlineLevel="0" collapsed="false">
      <c r="A22" s="17" t="n">
        <v>17</v>
      </c>
      <c r="B22" s="18" t="s">
        <v>253</v>
      </c>
      <c r="C22" s="17" t="s">
        <v>22</v>
      </c>
      <c r="D22" s="17" t="s">
        <v>325</v>
      </c>
      <c r="E22" s="17" t="s">
        <v>315</v>
      </c>
      <c r="F22" s="17" t="s">
        <v>254</v>
      </c>
      <c r="G22" s="17" t="s">
        <v>355</v>
      </c>
      <c r="H22" s="17" t="s">
        <v>328</v>
      </c>
      <c r="I22" s="17" t="s">
        <v>253</v>
      </c>
      <c r="J22" s="17" t="s">
        <v>356</v>
      </c>
    </row>
    <row r="23" customFormat="false" ht="23.85" hidden="false" customHeight="false" outlineLevel="0" collapsed="false">
      <c r="A23" s="17" t="n">
        <v>18</v>
      </c>
      <c r="B23" s="18" t="s">
        <v>256</v>
      </c>
      <c r="C23" s="17" t="s">
        <v>22</v>
      </c>
      <c r="D23" s="17" t="s">
        <v>325</v>
      </c>
      <c r="E23" s="17" t="s">
        <v>332</v>
      </c>
      <c r="F23" s="17" t="s">
        <v>257</v>
      </c>
      <c r="G23" s="17" t="s">
        <v>357</v>
      </c>
      <c r="H23" s="17" t="s">
        <v>328</v>
      </c>
      <c r="I23" s="17" t="s">
        <v>256</v>
      </c>
      <c r="J23" s="17" t="s">
        <v>358</v>
      </c>
    </row>
    <row r="24" customFormat="false" ht="23.85" hidden="false" customHeight="false" outlineLevel="0" collapsed="false">
      <c r="A24" s="17" t="n">
        <v>19</v>
      </c>
      <c r="B24" s="18" t="s">
        <v>359</v>
      </c>
      <c r="C24" s="17" t="s">
        <v>360</v>
      </c>
      <c r="D24" s="17" t="s">
        <v>361</v>
      </c>
      <c r="E24" s="17" t="s">
        <v>315</v>
      </c>
      <c r="F24" s="17" t="s">
        <v>362</v>
      </c>
      <c r="G24" s="17" t="s">
        <v>363</v>
      </c>
      <c r="H24" s="17" t="s">
        <v>328</v>
      </c>
      <c r="I24" s="17" t="s">
        <v>359</v>
      </c>
      <c r="J24" s="17" t="s">
        <v>364</v>
      </c>
    </row>
    <row r="25" customFormat="false" ht="23.85" hidden="false" customHeight="false" outlineLevel="0" collapsed="false">
      <c r="A25" s="17" t="n">
        <v>20</v>
      </c>
      <c r="B25" s="18" t="s">
        <v>365</v>
      </c>
      <c r="C25" s="17" t="s">
        <v>360</v>
      </c>
      <c r="D25" s="17" t="s">
        <v>361</v>
      </c>
      <c r="E25" s="17" t="s">
        <v>332</v>
      </c>
      <c r="F25" s="17" t="s">
        <v>366</v>
      </c>
      <c r="G25" s="17" t="s">
        <v>367</v>
      </c>
      <c r="H25" s="17" t="s">
        <v>328</v>
      </c>
      <c r="I25" s="17" t="s">
        <v>365</v>
      </c>
      <c r="J25" s="17" t="s">
        <v>368</v>
      </c>
    </row>
    <row r="26" customFormat="false" ht="23.85" hidden="false" customHeight="false" outlineLevel="0" collapsed="false">
      <c r="A26" s="17" t="n">
        <v>21</v>
      </c>
      <c r="B26" s="18" t="s">
        <v>369</v>
      </c>
      <c r="C26" s="17" t="s">
        <v>360</v>
      </c>
      <c r="D26" s="17" t="s">
        <v>361</v>
      </c>
      <c r="E26" s="17" t="s">
        <v>332</v>
      </c>
      <c r="F26" s="17" t="s">
        <v>370</v>
      </c>
      <c r="G26" s="17" t="s">
        <v>371</v>
      </c>
      <c r="H26" s="17" t="s">
        <v>328</v>
      </c>
      <c r="I26" s="17" t="s">
        <v>369</v>
      </c>
      <c r="J26" s="17" t="s">
        <v>372</v>
      </c>
    </row>
    <row r="27" customFormat="false" ht="15" hidden="false" customHeight="false" outlineLevel="0" collapsed="false">
      <c r="A27" s="17" t="n">
        <v>22</v>
      </c>
      <c r="B27" s="18" t="s">
        <v>96</v>
      </c>
      <c r="C27" s="17" t="s">
        <v>12</v>
      </c>
      <c r="D27" s="17" t="s">
        <v>373</v>
      </c>
      <c r="E27" s="17" t="s">
        <v>98</v>
      </c>
      <c r="F27" s="17" t="s">
        <v>97</v>
      </c>
      <c r="G27" s="17" t="s">
        <v>374</v>
      </c>
      <c r="H27" s="17" t="s">
        <v>375</v>
      </c>
      <c r="I27" s="17" t="s">
        <v>376</v>
      </c>
      <c r="J27" s="17" t="s">
        <v>377</v>
      </c>
    </row>
    <row r="28" customFormat="false" ht="15" hidden="false" customHeight="false" outlineLevel="0" collapsed="false">
      <c r="A28" s="17" t="n">
        <v>23</v>
      </c>
      <c r="B28" s="18" t="s">
        <v>118</v>
      </c>
      <c r="C28" s="17" t="s">
        <v>12</v>
      </c>
      <c r="D28" s="17" t="s">
        <v>373</v>
      </c>
      <c r="E28" s="17" t="s">
        <v>98</v>
      </c>
      <c r="F28" s="17" t="s">
        <v>119</v>
      </c>
      <c r="G28" s="17" t="s">
        <v>378</v>
      </c>
      <c r="H28" s="17" t="s">
        <v>375</v>
      </c>
      <c r="I28" s="17" t="s">
        <v>379</v>
      </c>
      <c r="J28" s="17" t="s">
        <v>380</v>
      </c>
    </row>
    <row r="29" customFormat="false" ht="23.85" hidden="false" customHeight="false" outlineLevel="0" collapsed="false">
      <c r="A29" s="17" t="n">
        <v>24</v>
      </c>
      <c r="B29" s="18" t="s">
        <v>178</v>
      </c>
      <c r="C29" s="17" t="s">
        <v>22</v>
      </c>
      <c r="D29" s="17" t="s">
        <v>373</v>
      </c>
      <c r="E29" s="17" t="s">
        <v>381</v>
      </c>
      <c r="F29" s="17" t="s">
        <v>382</v>
      </c>
      <c r="G29" s="17" t="s">
        <v>383</v>
      </c>
      <c r="H29" s="17" t="s">
        <v>384</v>
      </c>
      <c r="I29" s="17" t="s">
        <v>385</v>
      </c>
      <c r="J29" s="17" t="s">
        <v>386</v>
      </c>
    </row>
    <row r="30" customFormat="false" ht="15" hidden="false" customHeight="false" outlineLevel="0" collapsed="false">
      <c r="A30" s="17" t="n">
        <v>25</v>
      </c>
      <c r="B30" s="18" t="s">
        <v>184</v>
      </c>
      <c r="C30" s="17" t="s">
        <v>22</v>
      </c>
      <c r="D30" s="17" t="s">
        <v>373</v>
      </c>
      <c r="E30" s="17" t="s">
        <v>98</v>
      </c>
      <c r="F30" s="17" t="s">
        <v>387</v>
      </c>
      <c r="G30" s="17" t="s">
        <v>388</v>
      </c>
      <c r="H30" s="17" t="s">
        <v>375</v>
      </c>
      <c r="I30" s="17" t="s">
        <v>389</v>
      </c>
      <c r="J30" s="17" t="s">
        <v>390</v>
      </c>
    </row>
    <row r="31" customFormat="false" ht="15" hidden="false" customHeight="false" outlineLevel="0" collapsed="false">
      <c r="A31" s="17" t="n">
        <v>26</v>
      </c>
      <c r="B31" s="18" t="s">
        <v>191</v>
      </c>
      <c r="C31" s="17" t="s">
        <v>22</v>
      </c>
      <c r="D31" s="17" t="s">
        <v>373</v>
      </c>
      <c r="E31" s="17" t="s">
        <v>98</v>
      </c>
      <c r="F31" s="17" t="s">
        <v>192</v>
      </c>
      <c r="G31" s="17" t="s">
        <v>391</v>
      </c>
      <c r="H31" s="17" t="s">
        <v>375</v>
      </c>
      <c r="I31" s="17" t="s">
        <v>392</v>
      </c>
      <c r="J31" s="17"/>
    </row>
    <row r="32" customFormat="false" ht="15" hidden="false" customHeight="false" outlineLevel="0" collapsed="false">
      <c r="A32" s="17" t="n">
        <v>27</v>
      </c>
      <c r="B32" s="18" t="s">
        <v>195</v>
      </c>
      <c r="C32" s="17" t="s">
        <v>22</v>
      </c>
      <c r="D32" s="17" t="s">
        <v>373</v>
      </c>
      <c r="E32" s="17" t="s">
        <v>98</v>
      </c>
      <c r="F32" s="17" t="s">
        <v>393</v>
      </c>
      <c r="G32" s="17" t="s">
        <v>394</v>
      </c>
      <c r="H32" s="17" t="s">
        <v>375</v>
      </c>
      <c r="I32" s="17" t="s">
        <v>395</v>
      </c>
      <c r="J32" s="17" t="s">
        <v>396</v>
      </c>
    </row>
    <row r="33" customFormat="false" ht="23.85" hidden="false" customHeight="false" outlineLevel="0" collapsed="false">
      <c r="A33" s="17" t="n">
        <v>28</v>
      </c>
      <c r="B33" s="18" t="s">
        <v>199</v>
      </c>
      <c r="C33" s="17" t="s">
        <v>22</v>
      </c>
      <c r="D33" s="17" t="s">
        <v>373</v>
      </c>
      <c r="E33" s="17" t="s">
        <v>397</v>
      </c>
      <c r="F33" s="17" t="s">
        <v>398</v>
      </c>
      <c r="G33" s="17" t="s">
        <v>399</v>
      </c>
      <c r="H33" s="17" t="s">
        <v>400</v>
      </c>
      <c r="I33" s="17" t="s">
        <v>401</v>
      </c>
      <c r="J33" s="17" t="s">
        <v>402</v>
      </c>
    </row>
    <row r="34" customFormat="false" ht="15" hidden="false" customHeight="false" outlineLevel="0" collapsed="false">
      <c r="A34" s="17" t="n">
        <v>29</v>
      </c>
      <c r="B34" s="18" t="s">
        <v>207</v>
      </c>
      <c r="C34" s="17" t="s">
        <v>22</v>
      </c>
      <c r="D34" s="17" t="s">
        <v>373</v>
      </c>
      <c r="E34" s="17" t="s">
        <v>98</v>
      </c>
      <c r="F34" s="17" t="s">
        <v>208</v>
      </c>
      <c r="G34" s="17" t="s">
        <v>403</v>
      </c>
      <c r="H34" s="17" t="s">
        <v>375</v>
      </c>
      <c r="I34" s="17" t="s">
        <v>404</v>
      </c>
      <c r="J34" s="17"/>
    </row>
    <row r="35" customFormat="false" ht="15" hidden="false" customHeight="false" outlineLevel="0" collapsed="false">
      <c r="A35" s="17" t="n">
        <v>30</v>
      </c>
      <c r="B35" s="18" t="s">
        <v>211</v>
      </c>
      <c r="C35" s="17" t="s">
        <v>22</v>
      </c>
      <c r="D35" s="17" t="s">
        <v>373</v>
      </c>
      <c r="E35" s="17" t="s">
        <v>98</v>
      </c>
      <c r="F35" s="17" t="s">
        <v>212</v>
      </c>
      <c r="G35" s="17" t="s">
        <v>405</v>
      </c>
      <c r="H35" s="17" t="s">
        <v>375</v>
      </c>
      <c r="I35" s="17" t="s">
        <v>406</v>
      </c>
      <c r="J35" s="17"/>
    </row>
    <row r="36" customFormat="false" ht="15" hidden="false" customHeight="false" outlineLevel="0" collapsed="false">
      <c r="A36" s="17" t="n">
        <v>31</v>
      </c>
      <c r="B36" s="18" t="s">
        <v>214</v>
      </c>
      <c r="C36" s="17" t="s">
        <v>22</v>
      </c>
      <c r="D36" s="17" t="s">
        <v>373</v>
      </c>
      <c r="E36" s="17" t="s">
        <v>98</v>
      </c>
      <c r="F36" s="17" t="s">
        <v>215</v>
      </c>
      <c r="G36" s="17" t="s">
        <v>405</v>
      </c>
      <c r="H36" s="17" t="s">
        <v>375</v>
      </c>
      <c r="I36" s="17" t="s">
        <v>407</v>
      </c>
      <c r="J36" s="17"/>
    </row>
    <row r="37" customFormat="false" ht="15" hidden="false" customHeight="false" outlineLevel="0" collapsed="false">
      <c r="A37" s="17" t="n">
        <v>32</v>
      </c>
      <c r="B37" s="18" t="s">
        <v>217</v>
      </c>
      <c r="C37" s="17" t="s">
        <v>22</v>
      </c>
      <c r="D37" s="17" t="s">
        <v>373</v>
      </c>
      <c r="E37" s="17" t="s">
        <v>98</v>
      </c>
      <c r="F37" s="17" t="s">
        <v>218</v>
      </c>
      <c r="G37" s="17" t="s">
        <v>403</v>
      </c>
      <c r="H37" s="17" t="s">
        <v>375</v>
      </c>
      <c r="I37" s="17" t="s">
        <v>408</v>
      </c>
      <c r="J37" s="17"/>
    </row>
    <row r="38" customFormat="false" ht="15" hidden="false" customHeight="false" outlineLevel="0" collapsed="false">
      <c r="A38" s="17" t="n">
        <v>33</v>
      </c>
      <c r="B38" s="18" t="s">
        <v>220</v>
      </c>
      <c r="C38" s="17" t="s">
        <v>22</v>
      </c>
      <c r="D38" s="17" t="s">
        <v>373</v>
      </c>
      <c r="E38" s="17" t="s">
        <v>98</v>
      </c>
      <c r="F38" s="17" t="s">
        <v>409</v>
      </c>
      <c r="G38" s="17" t="s">
        <v>410</v>
      </c>
      <c r="H38" s="17" t="s">
        <v>375</v>
      </c>
      <c r="I38" s="17" t="s">
        <v>411</v>
      </c>
      <c r="J38" s="17"/>
    </row>
    <row r="39" customFormat="false" ht="15" hidden="false" customHeight="false" outlineLevel="0" collapsed="false">
      <c r="A39" s="17" t="n">
        <v>34</v>
      </c>
      <c r="B39" s="18" t="s">
        <v>223</v>
      </c>
      <c r="C39" s="17" t="s">
        <v>22</v>
      </c>
      <c r="D39" s="17" t="s">
        <v>373</v>
      </c>
      <c r="E39" s="17" t="s">
        <v>98</v>
      </c>
      <c r="F39" s="17" t="s">
        <v>412</v>
      </c>
      <c r="G39" s="17" t="s">
        <v>413</v>
      </c>
      <c r="H39" s="17" t="s">
        <v>375</v>
      </c>
      <c r="I39" s="17" t="s">
        <v>414</v>
      </c>
      <c r="J39" s="17"/>
    </row>
    <row r="40" customFormat="false" ht="15" hidden="false" customHeight="false" outlineLevel="0" collapsed="false">
      <c r="A40" s="17" t="n">
        <v>35</v>
      </c>
      <c r="B40" s="18" t="s">
        <v>226</v>
      </c>
      <c r="C40" s="17" t="s">
        <v>22</v>
      </c>
      <c r="D40" s="17" t="s">
        <v>373</v>
      </c>
      <c r="E40" s="17" t="s">
        <v>98</v>
      </c>
      <c r="F40" s="17" t="s">
        <v>415</v>
      </c>
      <c r="G40" s="17" t="s">
        <v>416</v>
      </c>
      <c r="H40" s="17" t="s">
        <v>375</v>
      </c>
      <c r="I40" s="17" t="s">
        <v>417</v>
      </c>
      <c r="J40" s="17"/>
    </row>
    <row r="41" customFormat="false" ht="15" hidden="false" customHeight="false" outlineLevel="0" collapsed="false">
      <c r="A41" s="17" t="n">
        <v>36</v>
      </c>
      <c r="B41" s="18" t="s">
        <v>229</v>
      </c>
      <c r="C41" s="17" t="s">
        <v>22</v>
      </c>
      <c r="D41" s="17" t="s">
        <v>373</v>
      </c>
      <c r="E41" s="17" t="s">
        <v>98</v>
      </c>
      <c r="F41" s="17" t="s">
        <v>230</v>
      </c>
      <c r="G41" s="17" t="s">
        <v>418</v>
      </c>
      <c r="H41" s="17" t="s">
        <v>375</v>
      </c>
      <c r="I41" s="17" t="s">
        <v>419</v>
      </c>
      <c r="J41" s="17"/>
    </row>
    <row r="42" customFormat="false" ht="23.85" hidden="false" customHeight="false" outlineLevel="0" collapsed="false">
      <c r="A42" s="17" t="n">
        <v>37</v>
      </c>
      <c r="B42" s="18" t="s">
        <v>232</v>
      </c>
      <c r="C42" s="17" t="s">
        <v>22</v>
      </c>
      <c r="D42" s="17" t="s">
        <v>373</v>
      </c>
      <c r="E42" s="17" t="s">
        <v>420</v>
      </c>
      <c r="F42" s="17" t="s">
        <v>421</v>
      </c>
      <c r="G42" s="17" t="s">
        <v>422</v>
      </c>
      <c r="H42" s="17" t="s">
        <v>423</v>
      </c>
      <c r="I42" s="17" t="s">
        <v>424</v>
      </c>
      <c r="J42" s="17" t="s">
        <v>425</v>
      </c>
    </row>
    <row r="43" customFormat="false" ht="15" hidden="false" customHeight="false" outlineLevel="0" collapsed="false">
      <c r="A43" s="17" t="n">
        <v>38</v>
      </c>
      <c r="B43" s="18" t="s">
        <v>238</v>
      </c>
      <c r="C43" s="17" t="s">
        <v>22</v>
      </c>
      <c r="D43" s="17" t="s">
        <v>373</v>
      </c>
      <c r="E43" s="17" t="s">
        <v>98</v>
      </c>
      <c r="F43" s="17" t="s">
        <v>239</v>
      </c>
      <c r="G43" s="17" t="s">
        <v>426</v>
      </c>
      <c r="H43" s="17" t="s">
        <v>375</v>
      </c>
      <c r="I43" s="17" t="s">
        <v>427</v>
      </c>
      <c r="J43" s="17"/>
    </row>
    <row r="44" customFormat="false" ht="23.85" hidden="false" customHeight="false" outlineLevel="0" collapsed="false">
      <c r="A44" s="17" t="n">
        <v>39</v>
      </c>
      <c r="B44" s="18" t="s">
        <v>241</v>
      </c>
      <c r="C44" s="17" t="s">
        <v>22</v>
      </c>
      <c r="D44" s="17" t="s">
        <v>373</v>
      </c>
      <c r="E44" s="17" t="s">
        <v>428</v>
      </c>
      <c r="F44" s="17" t="s">
        <v>429</v>
      </c>
      <c r="G44" s="17" t="s">
        <v>430</v>
      </c>
      <c r="H44" s="17" t="s">
        <v>423</v>
      </c>
      <c r="I44" s="17" t="s">
        <v>431</v>
      </c>
      <c r="J44" s="17" t="s">
        <v>432</v>
      </c>
    </row>
    <row r="45" customFormat="false" ht="15" hidden="false" customHeight="false" outlineLevel="0" collapsed="false">
      <c r="A45" s="17" t="n">
        <v>40</v>
      </c>
      <c r="B45" s="18" t="s">
        <v>433</v>
      </c>
      <c r="C45" s="17" t="s">
        <v>360</v>
      </c>
      <c r="D45" s="17" t="s">
        <v>434</v>
      </c>
      <c r="E45" s="17" t="s">
        <v>98</v>
      </c>
      <c r="F45" s="17" t="s">
        <v>435</v>
      </c>
      <c r="G45" s="17" t="s">
        <v>436</v>
      </c>
      <c r="H45" s="17" t="s">
        <v>375</v>
      </c>
      <c r="I45" s="17" t="s">
        <v>437</v>
      </c>
      <c r="J45" s="17" t="s">
        <v>438</v>
      </c>
    </row>
    <row r="46" customFormat="false" ht="15" hidden="false" customHeight="false" outlineLevel="0" collapsed="false">
      <c r="A46" s="17" t="n">
        <v>41</v>
      </c>
      <c r="B46" s="18" t="s">
        <v>59</v>
      </c>
      <c r="C46" s="17" t="s">
        <v>24</v>
      </c>
      <c r="D46" s="17" t="s">
        <v>58</v>
      </c>
      <c r="E46" s="17" t="s">
        <v>439</v>
      </c>
      <c r="F46" s="17" t="s">
        <v>440</v>
      </c>
      <c r="G46" s="17" t="s">
        <v>441</v>
      </c>
      <c r="H46" s="17" t="s">
        <v>442</v>
      </c>
      <c r="I46" s="17" t="s">
        <v>443</v>
      </c>
      <c r="J46" s="17" t="s">
        <v>444</v>
      </c>
    </row>
    <row r="48" customFormat="false" ht="15" hidden="false" customHeight="false" outlineLevel="0" collapsed="false">
      <c r="B48" s="21" t="s">
        <v>445</v>
      </c>
    </row>
    <row r="49" customFormat="false" ht="15" hidden="false" customHeight="false" outlineLevel="0" collapsed="false">
      <c r="B49" s="22" t="s">
        <v>308</v>
      </c>
      <c r="C49" s="22" t="n">
        <f aca="false">COUNTIF($D$6:$D$46,B49)</f>
        <v>1</v>
      </c>
    </row>
    <row r="50" customFormat="false" ht="15" hidden="false" customHeight="false" outlineLevel="0" collapsed="false">
      <c r="B50" s="22" t="s">
        <v>314</v>
      </c>
      <c r="C50" s="22" t="n">
        <f aca="false">COUNTIF($D$6:$D$46,B50)</f>
        <v>3</v>
      </c>
    </row>
    <row r="51" customFormat="false" ht="15" hidden="false" customHeight="false" outlineLevel="0" collapsed="false">
      <c r="B51" s="22" t="s">
        <v>325</v>
      </c>
      <c r="C51" s="22" t="n">
        <f aca="false">COUNTIF($D$6:$D$46,B51)</f>
        <v>14</v>
      </c>
    </row>
    <row r="52" customFormat="false" ht="15" hidden="false" customHeight="false" outlineLevel="0" collapsed="false">
      <c r="B52" s="22" t="s">
        <v>361</v>
      </c>
      <c r="C52" s="22" t="n">
        <f aca="false">COUNTIF($D$6:$D$46,B52)</f>
        <v>3</v>
      </c>
    </row>
    <row r="53" customFormat="false" ht="15" hidden="false" customHeight="false" outlineLevel="0" collapsed="false">
      <c r="B53" s="22" t="s">
        <v>373</v>
      </c>
      <c r="C53" s="22" t="n">
        <f aca="false">COUNTIF($D$6:$D$46,B53)</f>
        <v>18</v>
      </c>
    </row>
    <row r="54" customFormat="false" ht="15" hidden="false" customHeight="false" outlineLevel="0" collapsed="false">
      <c r="B54" s="22" t="s">
        <v>434</v>
      </c>
      <c r="C54" s="22" t="n">
        <f aca="false">COUNTIF($D$6:$D$46,B54)</f>
        <v>1</v>
      </c>
    </row>
    <row r="55" customFormat="false" ht="15" hidden="false" customHeight="false" outlineLevel="0" collapsed="false">
      <c r="B55" s="22" t="s">
        <v>58</v>
      </c>
      <c r="C55" s="22" t="n">
        <f aca="false">COUNTIF($D$6:$D$46,B55)</f>
        <v>1</v>
      </c>
    </row>
    <row r="56" customFormat="false" ht="15" hidden="false" customHeight="false" outlineLevel="0" collapsed="false">
      <c r="B56" s="23" t="s">
        <v>26</v>
      </c>
      <c r="C56" s="23" t="n">
        <f aca="false">SUM(C49:C55)</f>
        <v>41</v>
      </c>
    </row>
  </sheetData>
  <conditionalFormatting sqref="D6:D46">
    <cfRule type="expression" priority="2" aboveAverage="0" equalAverage="0" bottom="0" percent="0" rank="0" text="" dxfId="10">
      <formula>ISNUMBER(SEARCH("Numérica",$D6))</formula>
    </cfRule>
    <cfRule type="expression" priority="3" aboveAverage="0" equalAverage="0" bottom="0" percent="0" rank="0" text="" dxfId="9">
      <formula>ISNUMBER(SEARCH("Categórica",$D6))</formula>
    </cfRule>
    <cfRule type="expression" priority="4" aboveAverage="0" equalAverage="0" bottom="0" percent="0" rank="0" text="" dxfId="11">
      <formula>ISNUMBER(SEARCH("Target",$D6))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77FF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" t="s">
        <v>446</v>
      </c>
    </row>
    <row r="2" customFormat="false" ht="15" hidden="false" customHeight="false" outlineLevel="0" collapsed="false">
      <c r="A2" s="2" t="s">
        <v>447</v>
      </c>
    </row>
    <row r="3" customFormat="false" ht="3.75" hidden="false" customHeight="true" outlineLevel="0" collapsed="false">
      <c r="A3" s="3"/>
      <c r="B3" s="3"/>
      <c r="C3" s="3"/>
    </row>
    <row r="5" customFormat="false" ht="31.5" hidden="false" customHeight="true" outlineLevel="0" collapsed="false">
      <c r="A5" s="4" t="s">
        <v>66</v>
      </c>
      <c r="B5" s="4" t="s">
        <v>448</v>
      </c>
      <c r="C5" s="4" t="s">
        <v>449</v>
      </c>
    </row>
    <row r="6" customFormat="false" ht="15" hidden="false" customHeight="false" outlineLevel="0" collapsed="false">
      <c r="A6" s="17" t="s">
        <v>88</v>
      </c>
      <c r="B6" s="17" t="s">
        <v>94</v>
      </c>
      <c r="C6" s="17" t="s">
        <v>450</v>
      </c>
    </row>
    <row r="7" customFormat="false" ht="15" hidden="false" customHeight="false" outlineLevel="0" collapsed="false">
      <c r="A7" s="17" t="s">
        <v>167</v>
      </c>
      <c r="B7" s="17" t="s">
        <v>94</v>
      </c>
      <c r="C7" s="17" t="s">
        <v>451</v>
      </c>
    </row>
    <row r="8" customFormat="false" ht="15" hidden="false" customHeight="false" outlineLevel="0" collapsed="false">
      <c r="A8" s="17" t="s">
        <v>452</v>
      </c>
      <c r="B8" s="17" t="s">
        <v>94</v>
      </c>
      <c r="C8" s="17" t="s">
        <v>453</v>
      </c>
    </row>
    <row r="9" customFormat="false" ht="15" hidden="false" customHeight="false" outlineLevel="0" collapsed="false">
      <c r="A9" s="17" t="s">
        <v>129</v>
      </c>
      <c r="B9" s="17" t="s">
        <v>112</v>
      </c>
      <c r="C9" s="17" t="s">
        <v>454</v>
      </c>
    </row>
    <row r="10" customFormat="false" ht="15" hidden="false" customHeight="false" outlineLevel="0" collapsed="false">
      <c r="A10" s="17" t="s">
        <v>134</v>
      </c>
      <c r="B10" s="17" t="s">
        <v>112</v>
      </c>
      <c r="C10" s="17" t="s">
        <v>455</v>
      </c>
    </row>
    <row r="11" customFormat="false" ht="15" hidden="false" customHeight="false" outlineLevel="0" collapsed="false">
      <c r="A11" s="17" t="s">
        <v>148</v>
      </c>
      <c r="B11" s="17" t="s">
        <v>112</v>
      </c>
      <c r="C11" s="17" t="s">
        <v>456</v>
      </c>
    </row>
    <row r="12" customFormat="false" ht="15" hidden="false" customHeight="false" outlineLevel="0" collapsed="false">
      <c r="A12" s="17" t="s">
        <v>138</v>
      </c>
      <c r="B12" s="17" t="s">
        <v>112</v>
      </c>
      <c r="C12" s="17" t="s">
        <v>457</v>
      </c>
    </row>
    <row r="13" customFormat="false" ht="15" hidden="false" customHeight="false" outlineLevel="0" collapsed="false">
      <c r="A13" s="17" t="s">
        <v>21</v>
      </c>
      <c r="B13" s="17" t="s">
        <v>112</v>
      </c>
      <c r="C13" s="17" t="s">
        <v>458</v>
      </c>
    </row>
    <row r="14" customFormat="false" ht="15" hidden="false" customHeight="false" outlineLevel="0" collapsed="false">
      <c r="A14" s="17" t="s">
        <v>108</v>
      </c>
      <c r="B14" s="17" t="s">
        <v>112</v>
      </c>
      <c r="C14" s="17" t="s">
        <v>459</v>
      </c>
    </row>
    <row r="15" customFormat="false" ht="15" hidden="false" customHeight="false" outlineLevel="0" collapsed="false">
      <c r="A15" s="17" t="s">
        <v>114</v>
      </c>
      <c r="B15" s="17" t="s">
        <v>112</v>
      </c>
      <c r="C15" s="17" t="s">
        <v>460</v>
      </c>
    </row>
    <row r="16" customFormat="false" ht="15" hidden="false" customHeight="false" outlineLevel="0" collapsed="false">
      <c r="A16" s="17" t="s">
        <v>122</v>
      </c>
      <c r="B16" s="17" t="s">
        <v>112</v>
      </c>
      <c r="C16" s="17" t="s">
        <v>461</v>
      </c>
    </row>
    <row r="17" customFormat="false" ht="15" hidden="false" customHeight="false" outlineLevel="0" collapsed="false">
      <c r="A17" s="17" t="s">
        <v>171</v>
      </c>
      <c r="B17" s="17" t="s">
        <v>112</v>
      </c>
      <c r="C17" s="17" t="s">
        <v>462</v>
      </c>
    </row>
    <row r="18" customFormat="false" ht="15" hidden="false" customHeight="false" outlineLevel="0" collapsed="false">
      <c r="A18" s="17" t="s">
        <v>258</v>
      </c>
      <c r="B18" s="17" t="s">
        <v>112</v>
      </c>
      <c r="C18" s="17" t="s">
        <v>463</v>
      </c>
    </row>
    <row r="19" customFormat="false" ht="15" hidden="false" customHeight="false" outlineLevel="0" collapsed="false">
      <c r="A19" s="17" t="s">
        <v>267</v>
      </c>
      <c r="B19" s="17" t="s">
        <v>275</v>
      </c>
      <c r="C19" s="17" t="s">
        <v>464</v>
      </c>
    </row>
    <row r="20" customFormat="false" ht="15" hidden="false" customHeight="false" outlineLevel="0" collapsed="false">
      <c r="A20" s="17" t="s">
        <v>272</v>
      </c>
      <c r="B20" s="17" t="s">
        <v>275</v>
      </c>
      <c r="C20" s="17" t="s">
        <v>465</v>
      </c>
    </row>
    <row r="21" customFormat="false" ht="15" hidden="false" customHeight="false" outlineLevel="0" collapsed="false">
      <c r="A21" s="17" t="s">
        <v>277</v>
      </c>
      <c r="B21" s="17" t="s">
        <v>275</v>
      </c>
      <c r="C21" s="17" t="s">
        <v>466</v>
      </c>
    </row>
    <row r="22" customFormat="false" ht="15" hidden="false" customHeight="false" outlineLevel="0" collapsed="false">
      <c r="A22" s="17" t="s">
        <v>287</v>
      </c>
      <c r="B22" s="17" t="s">
        <v>275</v>
      </c>
      <c r="C22" s="17" t="s">
        <v>467</v>
      </c>
    </row>
    <row r="23" customFormat="false" ht="15" hidden="false" customHeight="false" outlineLevel="0" collapsed="false">
      <c r="A23" s="17" t="s">
        <v>292</v>
      </c>
      <c r="B23" s="17" t="s">
        <v>275</v>
      </c>
      <c r="C23" s="17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E071"/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468</v>
      </c>
    </row>
    <row r="2" customFormat="false" ht="15" hidden="false" customHeight="false" outlineLevel="0" collapsed="false">
      <c r="A2" s="2" t="s">
        <v>469</v>
      </c>
    </row>
    <row r="3" customFormat="false" ht="3.75" hidden="false" customHeight="true" outlineLevel="0" collapsed="false">
      <c r="A3" s="3"/>
      <c r="B3" s="3"/>
      <c r="C3" s="3"/>
    </row>
    <row r="5" customFormat="false" ht="31.5" hidden="false" customHeight="true" outlineLevel="0" collapsed="false">
      <c r="A5" s="4" t="s">
        <v>470</v>
      </c>
      <c r="B5" s="4" t="s">
        <v>471</v>
      </c>
    </row>
    <row r="6" customFormat="false" ht="15" hidden="false" customHeight="false" outlineLevel="0" collapsed="false">
      <c r="A6" s="18" t="s">
        <v>68</v>
      </c>
      <c r="B6" s="17" t="s">
        <v>472</v>
      </c>
    </row>
    <row r="7" customFormat="false" ht="15" hidden="false" customHeight="false" outlineLevel="0" collapsed="false">
      <c r="A7" s="18" t="s">
        <v>156</v>
      </c>
      <c r="B7" s="17" t="s">
        <v>473</v>
      </c>
    </row>
    <row r="8" customFormat="false" ht="15" hidden="false" customHeight="false" outlineLevel="0" collapsed="false">
      <c r="A8" s="18" t="s">
        <v>105</v>
      </c>
      <c r="B8" s="17" t="s">
        <v>474</v>
      </c>
    </row>
    <row r="9" customFormat="false" ht="15" hidden="false" customHeight="false" outlineLevel="0" collapsed="false">
      <c r="A9" s="18" t="s">
        <v>98</v>
      </c>
      <c r="B9" s="17" t="s">
        <v>475</v>
      </c>
    </row>
    <row r="10" customFormat="false" ht="15" hidden="false" customHeight="false" outlineLevel="0" collapsed="false">
      <c r="A10" s="18" t="s">
        <v>180</v>
      </c>
      <c r="B10" s="17" t="s">
        <v>476</v>
      </c>
    </row>
    <row r="11" customFormat="false" ht="15" hidden="false" customHeight="false" outlineLevel="0" collapsed="false">
      <c r="A11" s="18" t="s">
        <v>234</v>
      </c>
      <c r="B11" s="17" t="s">
        <v>477</v>
      </c>
    </row>
    <row r="12" customFormat="false" ht="15" hidden="false" customHeight="false" outlineLevel="0" collapsed="false">
      <c r="A12" s="18" t="s">
        <v>91</v>
      </c>
      <c r="B12" s="17" t="s">
        <v>478</v>
      </c>
    </row>
    <row r="13" customFormat="false" ht="15" hidden="false" customHeight="false" outlineLevel="0" collapsed="false">
      <c r="A13" s="18" t="s">
        <v>479</v>
      </c>
      <c r="B13" s="17" t="s">
        <v>480</v>
      </c>
    </row>
    <row r="14" customFormat="false" ht="15" hidden="false" customHeight="false" outlineLevel="0" collapsed="false">
      <c r="A14" s="18" t="s">
        <v>71</v>
      </c>
      <c r="B14" s="17" t="s">
        <v>481</v>
      </c>
    </row>
    <row r="15" customFormat="false" ht="15" hidden="false" customHeight="false" outlineLevel="0" collapsed="false">
      <c r="A15" s="18" t="s">
        <v>101</v>
      </c>
      <c r="B15" s="17" t="s">
        <v>482</v>
      </c>
    </row>
    <row r="16" customFormat="false" ht="15" hidden="false" customHeight="false" outlineLevel="0" collapsed="false">
      <c r="A16" s="18" t="s">
        <v>112</v>
      </c>
      <c r="B16" s="17" t="s">
        <v>483</v>
      </c>
    </row>
    <row r="17" customFormat="false" ht="15" hidden="false" customHeight="false" outlineLevel="0" collapsed="false">
      <c r="A17" s="18" t="s">
        <v>275</v>
      </c>
      <c r="B17" s="17" t="s">
        <v>484</v>
      </c>
    </row>
    <row r="18" customFormat="false" ht="15" hidden="false" customHeight="false" outlineLevel="0" collapsed="false">
      <c r="A18" s="18" t="s">
        <v>282</v>
      </c>
      <c r="B18" s="17" t="s">
        <v>485</v>
      </c>
    </row>
    <row r="19" customFormat="false" ht="15" hidden="false" customHeight="false" outlineLevel="0" collapsed="false">
      <c r="A19" s="18" t="s">
        <v>286</v>
      </c>
      <c r="B19" s="17" t="s">
        <v>486</v>
      </c>
    </row>
    <row r="20" customFormat="false" ht="15" hidden="false" customHeight="false" outlineLevel="0" collapsed="false">
      <c r="A20" s="18" t="s">
        <v>265</v>
      </c>
      <c r="B20" s="17" t="s">
        <v>487</v>
      </c>
    </row>
    <row r="21" customFormat="false" ht="23.85" hidden="false" customHeight="false" outlineLevel="0" collapsed="false">
      <c r="A21" s="18" t="s">
        <v>488</v>
      </c>
      <c r="B21" s="17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2026-10-10T13:39:45Z</dcterms:created>
  <dc:creator>openpyxl</dc:creator>
  <dc:description/>
  <dc:language>en-US</dc:language>
  <cp:lastModifiedBy/>
  <dcterms:modified xsi:type="dcterms:W3CDTF">2026-10-10T13:39:45Z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